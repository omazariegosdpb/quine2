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paloblancodesarrollos-my.sharepoint.com/personal/rcaceres_paloblanco_com/Documents/Escritorio/"/>
    </mc:Choice>
  </mc:AlternateContent>
  <xr:revisionPtr revIDLastSave="289" documentId="8_{42B218BF-96B1-4662-8D71-B321071BE802}" xr6:coauthVersionLast="47" xr6:coauthVersionMax="47" xr10:uidLastSave="{04D40D0E-FD0F-4315-9B14-C6A260582E15}"/>
  <workbookProtection workbookAlgorithmName="SHA-512" workbookHashValue="+9vNo5ypnBpcXzcuYQTGAC3vEZ3BaGuKKG3oR6xTXT/kITczZMtVmypOO9iX3xAW7zhREfjwt4lbPrmYMy8wxw==" workbookSaltValue="paPzyT81eMH1j6yvh3ojTw==" workbookSpinCount="100000" lockStructure="1"/>
  <bookViews>
    <workbookView xWindow="28680" yWindow="-120" windowWidth="29040" windowHeight="15720" firstSheet="1" activeTab="1" xr2:uid="{00000000-000D-0000-FFFF-FFFF00000000}"/>
  </bookViews>
  <sheets>
    <sheet name="README" sheetId="1" state="hidden" r:id="rId1"/>
    <sheet name="CONFIG" sheetId="2" r:id="rId2"/>
    <sheet name="PARTIDOS" sheetId="3" r:id="rId3"/>
    <sheet name="PRONOSTICOS" sheetId="4" r:id="rId4"/>
    <sheet name="TABLA_GENERAL" sheetId="5" r:id="rId5"/>
    <sheet name="POSICIONES" sheetId="6" r:id="rId6"/>
    <sheet name="DASHBOARD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6" i="6" l="1"/>
  <c r="AA96" i="6"/>
  <c r="Y96" i="6"/>
  <c r="X96" i="6"/>
  <c r="AD96" i="6" s="1"/>
  <c r="W96" i="6"/>
  <c r="AB95" i="6"/>
  <c r="AA95" i="6"/>
  <c r="Y95" i="6"/>
  <c r="X95" i="6"/>
  <c r="W95" i="6"/>
  <c r="AB94" i="6"/>
  <c r="AA94" i="6"/>
  <c r="Y94" i="6"/>
  <c r="X94" i="6"/>
  <c r="AD94" i="6" s="1"/>
  <c r="W94" i="6"/>
  <c r="AB93" i="6"/>
  <c r="AA93" i="6"/>
  <c r="Y93" i="6"/>
  <c r="X93" i="6"/>
  <c r="W93" i="6"/>
  <c r="AB89" i="6"/>
  <c r="AA89" i="6"/>
  <c r="Y89" i="6"/>
  <c r="X89" i="6"/>
  <c r="AD89" i="6" s="1"/>
  <c r="W89" i="6"/>
  <c r="AB88" i="6"/>
  <c r="AA88" i="6"/>
  <c r="Y88" i="6"/>
  <c r="X88" i="6"/>
  <c r="W88" i="6"/>
  <c r="AB87" i="6"/>
  <c r="AA87" i="6"/>
  <c r="Y87" i="6"/>
  <c r="X87" i="6"/>
  <c r="W87" i="6"/>
  <c r="AB86" i="6"/>
  <c r="AA86" i="6"/>
  <c r="Y86" i="6"/>
  <c r="X86" i="6"/>
  <c r="W86" i="6"/>
  <c r="AB82" i="6"/>
  <c r="AA82" i="6"/>
  <c r="Y82" i="6"/>
  <c r="X82" i="6"/>
  <c r="AD82" i="6" s="1"/>
  <c r="W82" i="6"/>
  <c r="AB81" i="6"/>
  <c r="AA81" i="6"/>
  <c r="Y81" i="6"/>
  <c r="X81" i="6"/>
  <c r="W81" i="6"/>
  <c r="AB80" i="6"/>
  <c r="AA80" i="6"/>
  <c r="Y80" i="6"/>
  <c r="X80" i="6"/>
  <c r="W80" i="6"/>
  <c r="AB79" i="6"/>
  <c r="AA79" i="6"/>
  <c r="Y79" i="6"/>
  <c r="X79" i="6"/>
  <c r="W79" i="6"/>
  <c r="AB75" i="6"/>
  <c r="AA75" i="6"/>
  <c r="Y75" i="6"/>
  <c r="X75" i="6"/>
  <c r="AD75" i="6" s="1"/>
  <c r="W75" i="6"/>
  <c r="AB74" i="6"/>
  <c r="AA74" i="6"/>
  <c r="Y74" i="6"/>
  <c r="X74" i="6"/>
  <c r="AD74" i="6" s="1"/>
  <c r="W74" i="6"/>
  <c r="AB73" i="6"/>
  <c r="AA73" i="6"/>
  <c r="Y73" i="6"/>
  <c r="X73" i="6"/>
  <c r="W73" i="6"/>
  <c r="AB72" i="6"/>
  <c r="AA72" i="6"/>
  <c r="Y72" i="6"/>
  <c r="X72" i="6"/>
  <c r="AD72" i="6" s="1"/>
  <c r="W72" i="6"/>
  <c r="AB68" i="6"/>
  <c r="AA68" i="6"/>
  <c r="AC68" i="6" s="1"/>
  <c r="Y68" i="6"/>
  <c r="X68" i="6"/>
  <c r="AD68" i="6" s="1"/>
  <c r="W68" i="6"/>
  <c r="AB67" i="6"/>
  <c r="AA67" i="6"/>
  <c r="Y67" i="6"/>
  <c r="X67" i="6"/>
  <c r="AD67" i="6" s="1"/>
  <c r="W67" i="6"/>
  <c r="AB66" i="6"/>
  <c r="AA66" i="6"/>
  <c r="Y66" i="6"/>
  <c r="X66" i="6"/>
  <c r="AD66" i="6" s="1"/>
  <c r="W66" i="6"/>
  <c r="AB65" i="6"/>
  <c r="AA65" i="6"/>
  <c r="Y65" i="6"/>
  <c r="X65" i="6"/>
  <c r="W65" i="6"/>
  <c r="AB61" i="6"/>
  <c r="AA61" i="6"/>
  <c r="Y61" i="6"/>
  <c r="X61" i="6"/>
  <c r="W61" i="6"/>
  <c r="AB60" i="6"/>
  <c r="AA60" i="6"/>
  <c r="Y60" i="6"/>
  <c r="X60" i="6"/>
  <c r="W60" i="6"/>
  <c r="AB59" i="6"/>
  <c r="AA59" i="6"/>
  <c r="Y59" i="6"/>
  <c r="X59" i="6"/>
  <c r="W59" i="6"/>
  <c r="AB58" i="6"/>
  <c r="AA58" i="6"/>
  <c r="Y58" i="6"/>
  <c r="X58" i="6"/>
  <c r="AD58" i="6" s="1"/>
  <c r="W58" i="6"/>
  <c r="AB54" i="6"/>
  <c r="AA54" i="6"/>
  <c r="Y54" i="6"/>
  <c r="X54" i="6"/>
  <c r="W54" i="6"/>
  <c r="AB53" i="6"/>
  <c r="AA53" i="6"/>
  <c r="Y53" i="6"/>
  <c r="X53" i="6"/>
  <c r="W53" i="6"/>
  <c r="AB52" i="6"/>
  <c r="AA52" i="6"/>
  <c r="Y52" i="6"/>
  <c r="X52" i="6"/>
  <c r="W52" i="6"/>
  <c r="AB51" i="6"/>
  <c r="AA51" i="6"/>
  <c r="Y51" i="6"/>
  <c r="X51" i="6"/>
  <c r="AD51" i="6" s="1"/>
  <c r="W51" i="6"/>
  <c r="AB47" i="6"/>
  <c r="AA47" i="6"/>
  <c r="Y47" i="6"/>
  <c r="X47" i="6"/>
  <c r="AD47" i="6" s="1"/>
  <c r="W47" i="6"/>
  <c r="AB46" i="6"/>
  <c r="AA46" i="6"/>
  <c r="Y46" i="6"/>
  <c r="X46" i="6"/>
  <c r="W46" i="6"/>
  <c r="AB45" i="6"/>
  <c r="AA45" i="6"/>
  <c r="Y45" i="6"/>
  <c r="X45" i="6"/>
  <c r="AD45" i="6" s="1"/>
  <c r="W45" i="6"/>
  <c r="AB44" i="6"/>
  <c r="AA44" i="6"/>
  <c r="Y44" i="6"/>
  <c r="X44" i="6"/>
  <c r="AD44" i="6" s="1"/>
  <c r="W44" i="6"/>
  <c r="AB40" i="6"/>
  <c r="AA40" i="6"/>
  <c r="Y40" i="6"/>
  <c r="X40" i="6"/>
  <c r="W40" i="6"/>
  <c r="AB39" i="6"/>
  <c r="AA39" i="6"/>
  <c r="Y39" i="6"/>
  <c r="X39" i="6"/>
  <c r="W39" i="6"/>
  <c r="AB38" i="6"/>
  <c r="AA38" i="6"/>
  <c r="Y38" i="6"/>
  <c r="X38" i="6"/>
  <c r="W38" i="6"/>
  <c r="AB37" i="6"/>
  <c r="AA37" i="6"/>
  <c r="Y37" i="6"/>
  <c r="X37" i="6"/>
  <c r="AD37" i="6" s="1"/>
  <c r="W37" i="6"/>
  <c r="AB33" i="6"/>
  <c r="AA33" i="6"/>
  <c r="Y33" i="6"/>
  <c r="X33" i="6"/>
  <c r="W33" i="6"/>
  <c r="AB32" i="6"/>
  <c r="AA32" i="6"/>
  <c r="Y32" i="6"/>
  <c r="X32" i="6"/>
  <c r="AD32" i="6" s="1"/>
  <c r="W32" i="6"/>
  <c r="AB31" i="6"/>
  <c r="AA31" i="6"/>
  <c r="Y31" i="6"/>
  <c r="X31" i="6"/>
  <c r="AD31" i="6" s="1"/>
  <c r="W31" i="6"/>
  <c r="AB30" i="6"/>
  <c r="AA30" i="6"/>
  <c r="Y30" i="6"/>
  <c r="X30" i="6"/>
  <c r="AD30" i="6" s="1"/>
  <c r="W30" i="6"/>
  <c r="AB26" i="6"/>
  <c r="AA26" i="6"/>
  <c r="Y26" i="6"/>
  <c r="X26" i="6"/>
  <c r="AD26" i="6" s="1"/>
  <c r="W26" i="6"/>
  <c r="AB25" i="6"/>
  <c r="AA25" i="6"/>
  <c r="Y25" i="6"/>
  <c r="X25" i="6"/>
  <c r="AD25" i="6" s="1"/>
  <c r="W25" i="6"/>
  <c r="AB24" i="6"/>
  <c r="AA24" i="6"/>
  <c r="Y24" i="6"/>
  <c r="X24" i="6"/>
  <c r="W24" i="6"/>
  <c r="AB23" i="6"/>
  <c r="AA23" i="6"/>
  <c r="Y23" i="6"/>
  <c r="X23" i="6"/>
  <c r="AD23" i="6" s="1"/>
  <c r="W23" i="6"/>
  <c r="AB19" i="6"/>
  <c r="AA19" i="6"/>
  <c r="Y19" i="6"/>
  <c r="X19" i="6"/>
  <c r="AD19" i="6" s="1"/>
  <c r="W19" i="6"/>
  <c r="AB18" i="6"/>
  <c r="AA18" i="6"/>
  <c r="Y18" i="6"/>
  <c r="X18" i="6"/>
  <c r="AD18" i="6" s="1"/>
  <c r="W18" i="6"/>
  <c r="AB17" i="6"/>
  <c r="AA17" i="6"/>
  <c r="Y17" i="6"/>
  <c r="X17" i="6"/>
  <c r="AD17" i="6" s="1"/>
  <c r="W17" i="6"/>
  <c r="AB16" i="6"/>
  <c r="AA16" i="6"/>
  <c r="Y16" i="6"/>
  <c r="X16" i="6"/>
  <c r="W16" i="6"/>
  <c r="B57" i="5"/>
  <c r="C57" i="5" s="1"/>
  <c r="B56" i="5"/>
  <c r="C56" i="5" s="1"/>
  <c r="B55" i="5"/>
  <c r="C55" i="5" s="1"/>
  <c r="B54" i="5"/>
  <c r="C54" i="5" s="1"/>
  <c r="B53" i="5"/>
  <c r="C53" i="5" s="1"/>
  <c r="B52" i="5"/>
  <c r="C52" i="5" s="1"/>
  <c r="B51" i="5"/>
  <c r="C51" i="5" s="1"/>
  <c r="B50" i="5"/>
  <c r="C50" i="5" s="1"/>
  <c r="B49" i="5"/>
  <c r="C49" i="5" s="1"/>
  <c r="B48" i="5"/>
  <c r="C48" i="5" s="1"/>
  <c r="B47" i="5"/>
  <c r="C47" i="5" s="1"/>
  <c r="B46" i="5"/>
  <c r="C46" i="5" s="1"/>
  <c r="B45" i="5"/>
  <c r="C45" i="5" s="1"/>
  <c r="B44" i="5"/>
  <c r="C44" i="5" s="1"/>
  <c r="B43" i="5"/>
  <c r="C43" i="5" s="1"/>
  <c r="B42" i="5"/>
  <c r="C42" i="5" s="1"/>
  <c r="B41" i="5"/>
  <c r="C41" i="5" s="1"/>
  <c r="B40" i="5"/>
  <c r="C40" i="5" s="1"/>
  <c r="B39" i="5"/>
  <c r="C39" i="5" s="1"/>
  <c r="B38" i="5"/>
  <c r="C38" i="5" s="1"/>
  <c r="B37" i="5"/>
  <c r="C37" i="5" s="1"/>
  <c r="B36" i="5"/>
  <c r="C36" i="5" s="1"/>
  <c r="B35" i="5"/>
  <c r="C35" i="5" s="1"/>
  <c r="B34" i="5"/>
  <c r="C34" i="5" s="1"/>
  <c r="B33" i="5"/>
  <c r="C33" i="5" s="1"/>
  <c r="B32" i="5"/>
  <c r="C32" i="5" s="1"/>
  <c r="B31" i="5"/>
  <c r="C31" i="5" s="1"/>
  <c r="B30" i="5"/>
  <c r="C30" i="5" s="1"/>
  <c r="B29" i="5"/>
  <c r="C29" i="5" s="1"/>
  <c r="B28" i="5"/>
  <c r="C28" i="5" s="1"/>
  <c r="B27" i="5"/>
  <c r="C27" i="5" s="1"/>
  <c r="B26" i="5"/>
  <c r="C26" i="5" s="1"/>
  <c r="B25" i="5"/>
  <c r="C25" i="5" s="1"/>
  <c r="B24" i="5"/>
  <c r="C24" i="5" s="1"/>
  <c r="B23" i="5"/>
  <c r="C23" i="5" s="1"/>
  <c r="B22" i="5"/>
  <c r="C22" i="5" s="1"/>
  <c r="B21" i="5"/>
  <c r="C21" i="5" s="1"/>
  <c r="B20" i="5"/>
  <c r="C20" i="5" s="1"/>
  <c r="B19" i="5"/>
  <c r="C19" i="5" s="1"/>
  <c r="B18" i="5"/>
  <c r="B17" i="5"/>
  <c r="B16" i="5"/>
  <c r="B15" i="5"/>
  <c r="B14" i="5"/>
  <c r="B13" i="5"/>
  <c r="B12" i="5"/>
  <c r="B11" i="5"/>
  <c r="B10" i="5"/>
  <c r="B9" i="5"/>
  <c r="B8" i="5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E22" i="7"/>
  <c r="E21" i="7"/>
  <c r="E20" i="7"/>
  <c r="E19" i="7"/>
  <c r="E18" i="7"/>
  <c r="E17" i="7"/>
  <c r="E16" i="7"/>
  <c r="E15" i="7"/>
  <c r="E14" i="7"/>
  <c r="E13" i="7"/>
  <c r="E12" i="7"/>
  <c r="E11" i="7"/>
  <c r="F7" i="7"/>
  <c r="AD52" i="6" l="1"/>
  <c r="AC72" i="6"/>
  <c r="AC60" i="6"/>
  <c r="AC96" i="6"/>
  <c r="AD73" i="6"/>
  <c r="Z73" i="6"/>
  <c r="AD38" i="6"/>
  <c r="AC73" i="6"/>
  <c r="AC82" i="6"/>
  <c r="AD81" i="6"/>
  <c r="AD93" i="6"/>
  <c r="AD79" i="6"/>
  <c r="AD86" i="6"/>
  <c r="AD33" i="6"/>
  <c r="AC61" i="6"/>
  <c r="AD88" i="6"/>
  <c r="AC67" i="6"/>
  <c r="AD53" i="6"/>
  <c r="C16" i="5"/>
  <c r="C14" i="5"/>
  <c r="C13" i="5"/>
  <c r="C12" i="5"/>
  <c r="C11" i="5"/>
  <c r="C10" i="5"/>
  <c r="C9" i="5"/>
  <c r="AC51" i="6"/>
  <c r="AD24" i="6"/>
  <c r="AC33" i="6"/>
  <c r="AC87" i="6"/>
  <c r="AD61" i="6"/>
  <c r="AC37" i="6"/>
  <c r="AD65" i="6"/>
  <c r="AC47" i="6"/>
  <c r="AC46" i="6"/>
  <c r="AC58" i="6"/>
  <c r="AC88" i="6"/>
  <c r="AD87" i="6"/>
  <c r="AC66" i="6"/>
  <c r="AC44" i="6"/>
  <c r="Z74" i="6"/>
  <c r="Z38" i="6"/>
  <c r="C18" i="5"/>
  <c r="C17" i="5"/>
  <c r="C15" i="5"/>
  <c r="AC86" i="6"/>
  <c r="AD54" i="6"/>
  <c r="AD80" i="6"/>
  <c r="AD59" i="6"/>
  <c r="AC16" i="6"/>
  <c r="AD95" i="6"/>
  <c r="AC17" i="6"/>
  <c r="AC93" i="6"/>
  <c r="AC54" i="6"/>
  <c r="AC38" i="6"/>
  <c r="AC94" i="6"/>
  <c r="AC74" i="6"/>
  <c r="AC23" i="6"/>
  <c r="AC19" i="6"/>
  <c r="AC79" i="6"/>
  <c r="AC40" i="6"/>
  <c r="AC25" i="6"/>
  <c r="AC24" i="6"/>
  <c r="AD16" i="6"/>
  <c r="AD39" i="6"/>
  <c r="Z39" i="6"/>
  <c r="AC80" i="6"/>
  <c r="AC45" i="6"/>
  <c r="AC18" i="6"/>
  <c r="AC81" i="6"/>
  <c r="AC75" i="6"/>
  <c r="C8" i="5"/>
  <c r="AC89" i="6"/>
  <c r="AD46" i="6"/>
  <c r="AC39" i="6"/>
  <c r="AC59" i="6"/>
  <c r="AD60" i="6"/>
  <c r="Z75" i="6"/>
  <c r="AD40" i="6"/>
  <c r="Z40" i="6"/>
  <c r="AC31" i="6"/>
  <c r="Z96" i="6"/>
  <c r="AC95" i="6"/>
  <c r="Z44" i="6"/>
  <c r="Z45" i="6"/>
  <c r="AC26" i="6"/>
  <c r="Z94" i="6"/>
  <c r="Z86" i="6"/>
  <c r="Z81" i="6"/>
  <c r="Z80" i="6"/>
  <c r="Z67" i="6"/>
  <c r="Z79" i="6"/>
  <c r="Z47" i="6"/>
  <c r="Z46" i="6"/>
  <c r="Z37" i="6"/>
  <c r="Z30" i="6"/>
  <c r="Z31" i="6"/>
  <c r="Z24" i="6"/>
  <c r="Z17" i="6"/>
  <c r="Z87" i="6"/>
  <c r="Z53" i="6"/>
  <c r="AC52" i="6"/>
  <c r="Z19" i="6"/>
  <c r="Z16" i="6"/>
  <c r="Z89" i="6"/>
  <c r="Z88" i="6"/>
  <c r="Z54" i="6"/>
  <c r="Z33" i="6"/>
  <c r="Z26" i="6"/>
  <c r="Z25" i="6"/>
  <c r="Z18" i="6"/>
  <c r="Z95" i="6"/>
  <c r="Z93" i="6"/>
  <c r="Z82" i="6"/>
  <c r="Z66" i="6"/>
  <c r="AC65" i="6"/>
  <c r="AC53" i="6"/>
  <c r="Z52" i="6"/>
  <c r="Z51" i="6"/>
  <c r="Z23" i="6"/>
  <c r="Z72" i="6"/>
  <c r="Z68" i="6"/>
  <c r="Z65" i="6"/>
  <c r="Z61" i="6"/>
  <c r="Z60" i="6"/>
  <c r="Z59" i="6"/>
  <c r="Z58" i="6"/>
  <c r="AC32" i="6"/>
  <c r="Z32" i="6"/>
  <c r="AC30" i="6"/>
  <c r="F22" i="7"/>
  <c r="G22" i="7"/>
  <c r="G21" i="7"/>
  <c r="F21" i="7"/>
  <c r="G20" i="7"/>
  <c r="F20" i="7"/>
  <c r="F19" i="7"/>
  <c r="G19" i="7"/>
  <c r="F18" i="7"/>
  <c r="G18" i="7"/>
  <c r="F17" i="7"/>
  <c r="G17" i="7"/>
  <c r="G16" i="7"/>
  <c r="F16" i="7"/>
  <c r="F15" i="7"/>
  <c r="G15" i="7"/>
  <c r="G14" i="7"/>
  <c r="F14" i="7"/>
  <c r="G13" i="7"/>
  <c r="F13" i="7"/>
  <c r="F12" i="7"/>
  <c r="G12" i="7"/>
  <c r="G11" i="7"/>
  <c r="F11" i="7"/>
  <c r="BE7" i="7"/>
  <c r="J7" i="7"/>
  <c r="H7" i="7"/>
  <c r="BE8" i="7" s="1"/>
  <c r="BD23" i="7" l="1" a="1"/>
  <c r="B72" i="6" a="1"/>
  <c r="B23" i="6" a="1"/>
  <c r="B37" i="6" a="1"/>
  <c r="B44" i="6" a="1"/>
  <c r="B58" i="6" a="1"/>
  <c r="B93" i="6" a="1"/>
  <c r="B30" i="6" a="1"/>
  <c r="B65" i="6" a="1"/>
  <c r="B16" i="6" a="1"/>
  <c r="B79" i="6" a="1"/>
  <c r="B86" i="6" a="1"/>
  <c r="B51" i="6" a="1"/>
  <c r="BE28" i="7" l="1"/>
  <c r="F62" i="7" s="1"/>
  <c r="BD24" i="7"/>
  <c r="E58" i="7" s="1"/>
  <c r="BD27" i="7"/>
  <c r="E61" i="7" s="1"/>
  <c r="BE27" i="7"/>
  <c r="F61" i="7" s="1"/>
  <c r="BD29" i="7"/>
  <c r="E63" i="7" s="1"/>
  <c r="BD30" i="7"/>
  <c r="E64" i="7" s="1"/>
  <c r="BE32" i="7"/>
  <c r="F66" i="7" s="1"/>
  <c r="BD25" i="7"/>
  <c r="E59" i="7" s="1"/>
  <c r="BE25" i="7"/>
  <c r="F59" i="7" s="1"/>
  <c r="BE26" i="7"/>
  <c r="F60" i="7" s="1"/>
  <c r="BD28" i="7"/>
  <c r="E62" i="7" s="1"/>
  <c r="BD31" i="7"/>
  <c r="E65" i="7" s="1"/>
  <c r="BE23" i="7"/>
  <c r="F57" i="7" s="1"/>
  <c r="BE30" i="7"/>
  <c r="F64" i="7" s="1"/>
  <c r="BE31" i="7"/>
  <c r="F65" i="7" s="1"/>
  <c r="BE24" i="7"/>
  <c r="F58" i="7" s="1"/>
  <c r="BD26" i="7"/>
  <c r="E60" i="7" s="1"/>
  <c r="BD23" i="7"/>
  <c r="E57" i="7" s="1"/>
  <c r="BE29" i="7"/>
  <c r="F63" i="7" s="1"/>
  <c r="BD32" i="7"/>
  <c r="E66" i="7" s="1"/>
  <c r="B72" i="6"/>
  <c r="E35" i="7" s="1"/>
  <c r="J75" i="6"/>
  <c r="I75" i="6"/>
  <c r="H75" i="6"/>
  <c r="G75" i="6"/>
  <c r="F75" i="6"/>
  <c r="E75" i="6"/>
  <c r="D75" i="6"/>
  <c r="C75" i="6"/>
  <c r="B75" i="6"/>
  <c r="J74" i="6"/>
  <c r="AH10" i="6" s="1"/>
  <c r="I74" i="6"/>
  <c r="AI10" i="6" s="1"/>
  <c r="H74" i="6"/>
  <c r="G74" i="6"/>
  <c r="AJ10" i="6" s="1"/>
  <c r="F74" i="6"/>
  <c r="E74" i="6"/>
  <c r="D74" i="6"/>
  <c r="C74" i="6"/>
  <c r="B74" i="6"/>
  <c r="AG10" i="6" s="1"/>
  <c r="J73" i="6"/>
  <c r="I73" i="6"/>
  <c r="H73" i="6"/>
  <c r="D93" i="6"/>
  <c r="G93" i="6"/>
  <c r="I93" i="6"/>
  <c r="J93" i="6"/>
  <c r="E94" i="6"/>
  <c r="F94" i="6"/>
  <c r="G94" i="6"/>
  <c r="H95" i="6"/>
  <c r="G73" i="6"/>
  <c r="F73" i="6"/>
  <c r="I72" i="6"/>
  <c r="E73" i="6"/>
  <c r="D73" i="6"/>
  <c r="C73" i="6"/>
  <c r="B73" i="6"/>
  <c r="F35" i="7" s="1"/>
  <c r="J72" i="6"/>
  <c r="H72" i="6"/>
  <c r="G72" i="6"/>
  <c r="F72" i="6"/>
  <c r="E72" i="6"/>
  <c r="D72" i="6"/>
  <c r="C72" i="6"/>
  <c r="E24" i="6"/>
  <c r="F24" i="6"/>
  <c r="G24" i="6"/>
  <c r="H24" i="6"/>
  <c r="I24" i="6"/>
  <c r="J24" i="6"/>
  <c r="B25" i="6"/>
  <c r="AG3" i="6" s="1"/>
  <c r="B23" i="6"/>
  <c r="E28" i="7" s="1"/>
  <c r="D25" i="6"/>
  <c r="E25" i="6"/>
  <c r="F25" i="6"/>
  <c r="H25" i="6"/>
  <c r="C24" i="6"/>
  <c r="B26" i="6"/>
  <c r="G25" i="6"/>
  <c r="AJ3" i="6" s="1"/>
  <c r="C26" i="6"/>
  <c r="I25" i="6"/>
  <c r="AI3" i="6" s="1"/>
  <c r="D26" i="6"/>
  <c r="E26" i="6"/>
  <c r="F26" i="6"/>
  <c r="G26" i="6"/>
  <c r="H26" i="6"/>
  <c r="I26" i="6"/>
  <c r="J26" i="6"/>
  <c r="F23" i="6"/>
  <c r="C25" i="6"/>
  <c r="C23" i="6"/>
  <c r="D23" i="6"/>
  <c r="E23" i="6"/>
  <c r="J25" i="6"/>
  <c r="AH3" i="6" s="1"/>
  <c r="G23" i="6"/>
  <c r="H23" i="6"/>
  <c r="I23" i="6"/>
  <c r="J23" i="6"/>
  <c r="B24" i="6"/>
  <c r="F28" i="7" s="1"/>
  <c r="D24" i="6"/>
  <c r="E96" i="6"/>
  <c r="H96" i="6"/>
  <c r="J96" i="6"/>
  <c r="B93" i="6"/>
  <c r="E38" i="7" s="1"/>
  <c r="G96" i="6"/>
  <c r="J95" i="6"/>
  <c r="AH15" i="6" s="1"/>
  <c r="G40" i="6"/>
  <c r="G37" i="6"/>
  <c r="F37" i="6"/>
  <c r="E37" i="6"/>
  <c r="D37" i="6"/>
  <c r="E39" i="6"/>
  <c r="B37" i="6"/>
  <c r="E30" i="7" s="1"/>
  <c r="J40" i="6"/>
  <c r="I40" i="6"/>
  <c r="H40" i="6"/>
  <c r="C37" i="6"/>
  <c r="F40" i="6"/>
  <c r="E40" i="6"/>
  <c r="D40" i="6"/>
  <c r="C40" i="6"/>
  <c r="B40" i="6"/>
  <c r="J39" i="6"/>
  <c r="AH5" i="6" s="1"/>
  <c r="I39" i="6"/>
  <c r="AI5" i="6" s="1"/>
  <c r="H39" i="6"/>
  <c r="G39" i="6"/>
  <c r="AJ5" i="6" s="1"/>
  <c r="F39" i="6"/>
  <c r="H37" i="6"/>
  <c r="D39" i="6"/>
  <c r="C39" i="6"/>
  <c r="B39" i="6"/>
  <c r="AG5" i="6" s="1"/>
  <c r="J38" i="6"/>
  <c r="I38" i="6"/>
  <c r="H38" i="6"/>
  <c r="G38" i="6"/>
  <c r="F38" i="6"/>
  <c r="E38" i="6"/>
  <c r="D38" i="6"/>
  <c r="C38" i="6"/>
  <c r="B38" i="6"/>
  <c r="F30" i="7" s="1"/>
  <c r="J37" i="6"/>
  <c r="I37" i="6"/>
  <c r="C93" i="6"/>
  <c r="E93" i="6"/>
  <c r="F93" i="6"/>
  <c r="H93" i="6"/>
  <c r="B94" i="6"/>
  <c r="F38" i="7" s="1"/>
  <c r="B96" i="6"/>
  <c r="I47" i="6"/>
  <c r="B45" i="6"/>
  <c r="F31" i="7" s="1"/>
  <c r="J44" i="6"/>
  <c r="I44" i="6"/>
  <c r="G44" i="6"/>
  <c r="G46" i="6"/>
  <c r="AJ6" i="6" s="1"/>
  <c r="F44" i="6"/>
  <c r="E44" i="6"/>
  <c r="D44" i="6"/>
  <c r="J47" i="6"/>
  <c r="C44" i="6"/>
  <c r="H47" i="6"/>
  <c r="G47" i="6"/>
  <c r="F47" i="6"/>
  <c r="E47" i="6"/>
  <c r="B44" i="6"/>
  <c r="E31" i="7" s="1"/>
  <c r="D47" i="6"/>
  <c r="C47" i="6"/>
  <c r="B47" i="6"/>
  <c r="J46" i="6"/>
  <c r="AH6" i="6" s="1"/>
  <c r="I46" i="6"/>
  <c r="AI6" i="6" s="1"/>
  <c r="H46" i="6"/>
  <c r="H44" i="6"/>
  <c r="F46" i="6"/>
  <c r="E46" i="6"/>
  <c r="D46" i="6"/>
  <c r="C46" i="6"/>
  <c r="B46" i="6"/>
  <c r="AG6" i="6" s="1"/>
  <c r="J45" i="6"/>
  <c r="I45" i="6"/>
  <c r="H45" i="6"/>
  <c r="G45" i="6"/>
  <c r="F45" i="6"/>
  <c r="E45" i="6"/>
  <c r="D45" i="6"/>
  <c r="C45" i="6"/>
  <c r="D94" i="6"/>
  <c r="H94" i="6"/>
  <c r="I94" i="6"/>
  <c r="B95" i="6"/>
  <c r="AG15" i="6" s="1"/>
  <c r="E95" i="6"/>
  <c r="F95" i="6"/>
  <c r="I96" i="6"/>
  <c r="C95" i="6"/>
  <c r="C94" i="6"/>
  <c r="H60" i="6"/>
  <c r="G60" i="6"/>
  <c r="AJ8" i="6" s="1"/>
  <c r="F60" i="6"/>
  <c r="E60" i="6"/>
  <c r="D60" i="6"/>
  <c r="C60" i="6"/>
  <c r="B60" i="6"/>
  <c r="AG8" i="6" s="1"/>
  <c r="G61" i="6"/>
  <c r="J59" i="6"/>
  <c r="I59" i="6"/>
  <c r="H59" i="6"/>
  <c r="G59" i="6"/>
  <c r="F59" i="6"/>
  <c r="E59" i="6"/>
  <c r="C59" i="6"/>
  <c r="B59" i="6"/>
  <c r="F33" i="7" s="1"/>
  <c r="J58" i="6"/>
  <c r="I58" i="6"/>
  <c r="H58" i="6"/>
  <c r="G58" i="6"/>
  <c r="F58" i="6"/>
  <c r="E58" i="6"/>
  <c r="D58" i="6"/>
  <c r="C58" i="6"/>
  <c r="B58" i="6"/>
  <c r="E33" i="7" s="1"/>
  <c r="J61" i="6"/>
  <c r="I61" i="6"/>
  <c r="H61" i="6"/>
  <c r="D59" i="6"/>
  <c r="F61" i="6"/>
  <c r="E61" i="6"/>
  <c r="D61" i="6"/>
  <c r="C61" i="6"/>
  <c r="B61" i="6"/>
  <c r="J60" i="6"/>
  <c r="AH8" i="6" s="1"/>
  <c r="I60" i="6"/>
  <c r="AI8" i="6" s="1"/>
  <c r="J94" i="6"/>
  <c r="D95" i="6"/>
  <c r="G95" i="6"/>
  <c r="AJ15" i="6" s="1"/>
  <c r="I95" i="6"/>
  <c r="AI15" i="6" s="1"/>
  <c r="C96" i="6"/>
  <c r="D96" i="6"/>
  <c r="F96" i="6"/>
  <c r="J33" i="6"/>
  <c r="H33" i="6"/>
  <c r="G33" i="6"/>
  <c r="F33" i="6"/>
  <c r="D33" i="6"/>
  <c r="I33" i="6"/>
  <c r="E33" i="6"/>
  <c r="C33" i="6"/>
  <c r="B33" i="6"/>
  <c r="J32" i="6"/>
  <c r="AH4" i="6" s="1"/>
  <c r="I32" i="6"/>
  <c r="AI4" i="6" s="1"/>
  <c r="H32" i="6"/>
  <c r="G32" i="6"/>
  <c r="AJ4" i="6" s="1"/>
  <c r="B30" i="6"/>
  <c r="E29" i="7" s="1"/>
  <c r="F32" i="6"/>
  <c r="E32" i="6"/>
  <c r="D32" i="6"/>
  <c r="C32" i="6"/>
  <c r="B32" i="6"/>
  <c r="AG4" i="6" s="1"/>
  <c r="J31" i="6"/>
  <c r="I31" i="6"/>
  <c r="H31" i="6"/>
  <c r="G31" i="6"/>
  <c r="F31" i="6"/>
  <c r="E31" i="6"/>
  <c r="D31" i="6"/>
  <c r="C31" i="6"/>
  <c r="B31" i="6"/>
  <c r="F29" i="7" s="1"/>
  <c r="J30" i="6"/>
  <c r="I30" i="6"/>
  <c r="H30" i="6"/>
  <c r="G30" i="6"/>
  <c r="F30" i="6"/>
  <c r="E30" i="6"/>
  <c r="D30" i="6"/>
  <c r="C30" i="6"/>
  <c r="J67" i="6"/>
  <c r="AH9" i="6" s="1"/>
  <c r="I67" i="6"/>
  <c r="AI9" i="6" s="1"/>
  <c r="H67" i="6"/>
  <c r="G67" i="6"/>
  <c r="AJ9" i="6" s="1"/>
  <c r="F67" i="6"/>
  <c r="E67" i="6"/>
  <c r="D67" i="6"/>
  <c r="C67" i="6"/>
  <c r="B67" i="6"/>
  <c r="AG9" i="6" s="1"/>
  <c r="J66" i="6"/>
  <c r="I66" i="6"/>
  <c r="H66" i="6"/>
  <c r="G66" i="6"/>
  <c r="F66" i="6"/>
  <c r="D66" i="6"/>
  <c r="C66" i="6"/>
  <c r="B66" i="6"/>
  <c r="F34" i="7" s="1"/>
  <c r="J65" i="6"/>
  <c r="I65" i="6"/>
  <c r="H65" i="6"/>
  <c r="G65" i="6"/>
  <c r="F65" i="6"/>
  <c r="E65" i="6"/>
  <c r="D65" i="6"/>
  <c r="C65" i="6"/>
  <c r="E66" i="6"/>
  <c r="B65" i="6"/>
  <c r="E34" i="7" s="1"/>
  <c r="J68" i="6"/>
  <c r="I68" i="6"/>
  <c r="H68" i="6"/>
  <c r="G68" i="6"/>
  <c r="F68" i="6"/>
  <c r="E68" i="6"/>
  <c r="D68" i="6"/>
  <c r="C68" i="6"/>
  <c r="B68" i="6"/>
  <c r="J17" i="6"/>
  <c r="J19" i="6"/>
  <c r="I19" i="6"/>
  <c r="H19" i="6"/>
  <c r="G19" i="6"/>
  <c r="F19" i="6"/>
  <c r="E19" i="6"/>
  <c r="D19" i="6"/>
  <c r="C19" i="6"/>
  <c r="B19" i="6"/>
  <c r="J18" i="6"/>
  <c r="AH2" i="6" s="1"/>
  <c r="I18" i="6"/>
  <c r="AI2" i="6" s="1"/>
  <c r="H18" i="6"/>
  <c r="G18" i="6"/>
  <c r="AJ2" i="6" s="1"/>
  <c r="F18" i="6"/>
  <c r="E18" i="6"/>
  <c r="C18" i="6"/>
  <c r="B18" i="6"/>
  <c r="H16" i="6"/>
  <c r="I17" i="6"/>
  <c r="H17" i="6"/>
  <c r="G17" i="6"/>
  <c r="F17" i="6"/>
  <c r="E17" i="6"/>
  <c r="D17" i="6"/>
  <c r="C17" i="6"/>
  <c r="G16" i="6"/>
  <c r="B16" i="6"/>
  <c r="E27" i="7" s="1"/>
  <c r="D18" i="6"/>
  <c r="B17" i="6"/>
  <c r="F27" i="7" s="1"/>
  <c r="J16" i="6"/>
  <c r="F16" i="6"/>
  <c r="E16" i="6"/>
  <c r="D16" i="6"/>
  <c r="C16" i="6"/>
  <c r="I16" i="6"/>
  <c r="B79" i="6"/>
  <c r="E36" i="7" s="1"/>
  <c r="J82" i="6"/>
  <c r="I82" i="6"/>
  <c r="H82" i="6"/>
  <c r="G82" i="6"/>
  <c r="F82" i="6"/>
  <c r="E82" i="6"/>
  <c r="D82" i="6"/>
  <c r="C82" i="6"/>
  <c r="B82" i="6"/>
  <c r="J81" i="6"/>
  <c r="AH11" i="6" s="1"/>
  <c r="I81" i="6"/>
  <c r="AI11" i="6" s="1"/>
  <c r="H81" i="6"/>
  <c r="G81" i="6"/>
  <c r="AJ11" i="6" s="1"/>
  <c r="F81" i="6"/>
  <c r="E81" i="6"/>
  <c r="D81" i="6"/>
  <c r="C81" i="6"/>
  <c r="B81" i="6"/>
  <c r="AG11" i="6" s="1"/>
  <c r="J80" i="6"/>
  <c r="I80" i="6"/>
  <c r="H80" i="6"/>
  <c r="G80" i="6"/>
  <c r="F80" i="6"/>
  <c r="E80" i="6"/>
  <c r="D80" i="6"/>
  <c r="C80" i="6"/>
  <c r="B80" i="6"/>
  <c r="F36" i="7" s="1"/>
  <c r="J79" i="6"/>
  <c r="I79" i="6"/>
  <c r="H79" i="6"/>
  <c r="G79" i="6"/>
  <c r="F79" i="6"/>
  <c r="E79" i="6"/>
  <c r="D79" i="6"/>
  <c r="C79" i="6"/>
  <c r="E86" i="6"/>
  <c r="H86" i="6"/>
  <c r="F86" i="6"/>
  <c r="C86" i="6"/>
  <c r="B86" i="6"/>
  <c r="E37" i="7" s="1"/>
  <c r="J89" i="6"/>
  <c r="I89" i="6"/>
  <c r="H89" i="6"/>
  <c r="G89" i="6"/>
  <c r="F89" i="6"/>
  <c r="E89" i="6"/>
  <c r="D89" i="6"/>
  <c r="C89" i="6"/>
  <c r="B89" i="6"/>
  <c r="J88" i="6"/>
  <c r="AH14" i="6" s="1"/>
  <c r="I88" i="6"/>
  <c r="AI14" i="6" s="1"/>
  <c r="H88" i="6"/>
  <c r="G88" i="6"/>
  <c r="AJ14" i="6" s="1"/>
  <c r="F88" i="6"/>
  <c r="E88" i="6"/>
  <c r="D88" i="6"/>
  <c r="C88" i="6"/>
  <c r="B88" i="6"/>
  <c r="AG14" i="6" s="1"/>
  <c r="J87" i="6"/>
  <c r="I87" i="6"/>
  <c r="H87" i="6"/>
  <c r="G87" i="6"/>
  <c r="F87" i="6"/>
  <c r="E87" i="6"/>
  <c r="D87" i="6"/>
  <c r="C87" i="6"/>
  <c r="B87" i="6"/>
  <c r="F37" i="7" s="1"/>
  <c r="J86" i="6"/>
  <c r="I86" i="6"/>
  <c r="G86" i="6"/>
  <c r="D86" i="6"/>
  <c r="B51" i="6"/>
  <c r="E32" i="7" s="1"/>
  <c r="J54" i="6"/>
  <c r="I54" i="6"/>
  <c r="H54" i="6"/>
  <c r="G54" i="6"/>
  <c r="F54" i="6"/>
  <c r="E54" i="6"/>
  <c r="D54" i="6"/>
  <c r="C54" i="6"/>
  <c r="B54" i="6"/>
  <c r="J53" i="6"/>
  <c r="AH7" i="6" s="1"/>
  <c r="I53" i="6"/>
  <c r="AI7" i="6" s="1"/>
  <c r="H53" i="6"/>
  <c r="G53" i="6"/>
  <c r="AJ7" i="6" s="1"/>
  <c r="F53" i="6"/>
  <c r="E53" i="6"/>
  <c r="D53" i="6"/>
  <c r="C53" i="6"/>
  <c r="B53" i="6"/>
  <c r="AG7" i="6" s="1"/>
  <c r="J52" i="6"/>
  <c r="I52" i="6"/>
  <c r="H52" i="6"/>
  <c r="G52" i="6"/>
  <c r="F52" i="6"/>
  <c r="E52" i="6"/>
  <c r="D52" i="6"/>
  <c r="C52" i="6"/>
  <c r="B52" i="6"/>
  <c r="F32" i="7" s="1"/>
  <c r="J51" i="6"/>
  <c r="I51" i="6"/>
  <c r="H51" i="6"/>
  <c r="G51" i="6"/>
  <c r="F51" i="6"/>
  <c r="E51" i="6"/>
  <c r="D51" i="6"/>
  <c r="C51" i="6"/>
  <c r="AG2" i="6" l="1"/>
  <c r="O16" i="6" a="1"/>
  <c r="O16" i="6" l="1"/>
  <c r="E44" i="7" s="1"/>
  <c r="S23" i="6"/>
  <c r="I51" i="7" s="1"/>
  <c r="R23" i="6"/>
  <c r="H51" i="7" s="1"/>
  <c r="Q23" i="6"/>
  <c r="G51" i="7" s="1"/>
  <c r="P23" i="6"/>
  <c r="F51" i="7" s="1"/>
  <c r="O23" i="6"/>
  <c r="E51" i="7" s="1"/>
  <c r="S22" i="6"/>
  <c r="I50" i="7" s="1"/>
  <c r="R22" i="6"/>
  <c r="H50" i="7" s="1"/>
  <c r="Q22" i="6"/>
  <c r="G50" i="7" s="1"/>
  <c r="P22" i="6"/>
  <c r="F50" i="7" s="1"/>
  <c r="O22" i="6"/>
  <c r="E50" i="7" s="1"/>
  <c r="S21" i="6"/>
  <c r="I49" i="7" s="1"/>
  <c r="R21" i="6"/>
  <c r="H49" i="7" s="1"/>
  <c r="Q21" i="6"/>
  <c r="G49" i="7" s="1"/>
  <c r="P21" i="6"/>
  <c r="F49" i="7" s="1"/>
  <c r="O21" i="6"/>
  <c r="E49" i="7" s="1"/>
  <c r="S20" i="6"/>
  <c r="I48" i="7" s="1"/>
  <c r="R20" i="6"/>
  <c r="H48" i="7" s="1"/>
  <c r="Q20" i="6"/>
  <c r="G48" i="7" s="1"/>
  <c r="P20" i="6"/>
  <c r="F48" i="7" s="1"/>
  <c r="O20" i="6"/>
  <c r="E48" i="7" s="1"/>
  <c r="S19" i="6"/>
  <c r="I47" i="7" s="1"/>
  <c r="R19" i="6"/>
  <c r="H47" i="7" s="1"/>
  <c r="Q19" i="6"/>
  <c r="G47" i="7" s="1"/>
  <c r="P19" i="6"/>
  <c r="F47" i="7" s="1"/>
  <c r="O19" i="6"/>
  <c r="E47" i="7" s="1"/>
  <c r="S18" i="6"/>
  <c r="I46" i="7" s="1"/>
  <c r="R18" i="6"/>
  <c r="H46" i="7" s="1"/>
  <c r="Q18" i="6"/>
  <c r="G46" i="7" s="1"/>
  <c r="P18" i="6"/>
  <c r="F46" i="7" s="1"/>
  <c r="O18" i="6"/>
  <c r="E46" i="7" s="1"/>
  <c r="S17" i="6"/>
  <c r="I45" i="7" s="1"/>
  <c r="R17" i="6"/>
  <c r="H45" i="7" s="1"/>
  <c r="Q17" i="6"/>
  <c r="G45" i="7" s="1"/>
  <c r="P17" i="6"/>
  <c r="F45" i="7" s="1"/>
  <c r="O17" i="6"/>
  <c r="E45" i="7" s="1"/>
  <c r="S16" i="6"/>
  <c r="I44" i="7" s="1"/>
  <c r="R16" i="6"/>
  <c r="H44" i="7" s="1"/>
  <c r="Q16" i="6"/>
  <c r="G44" i="7" s="1"/>
  <c r="P16" i="6"/>
  <c r="K18" i="6" l="1"/>
  <c r="K60" i="6"/>
  <c r="K39" i="6"/>
  <c r="K67" i="6"/>
  <c r="K46" i="6"/>
  <c r="K74" i="6"/>
  <c r="K81" i="6"/>
  <c r="K25" i="6"/>
  <c r="K32" i="6"/>
  <c r="K95" i="6"/>
  <c r="K53" i="6"/>
  <c r="K88" i="6"/>
  <c r="F44" i="7"/>
</calcChain>
</file>

<file path=xl/sharedStrings.xml><?xml version="1.0" encoding="utf-8"?>
<sst xmlns="http://schemas.openxmlformats.org/spreadsheetml/2006/main" count="714" uniqueCount="176">
  <si>
    <t>Plantilla de Quiniela – Mundial 2026 (Fase de Grupos)</t>
  </si>
  <si>
    <t>Incluye hoja DASHBOARD con resumen de avance, clasificados directos y mejores terceros (Top 8).</t>
  </si>
  <si>
    <t>POSICIONES: Verde = 1°-2°; Amarillo = 3° clasificado; Rojo = eliminado.</t>
  </si>
  <si>
    <t>PARTIDOS protegido (solo GL_Real, GV_Real y Jugado). Contraseña: quiniela.</t>
  </si>
  <si>
    <t>Configuración</t>
  </si>
  <si>
    <t>Puntos por marcador exacto</t>
  </si>
  <si>
    <t>Puntos por acertar resultado (G/E/P)</t>
  </si>
  <si>
    <t>Zona horaria usada en PARTIDOS</t>
  </si>
  <si>
    <t>Guatemala (UTC-6)</t>
  </si>
  <si>
    <t>Participantes</t>
  </si>
  <si>
    <t>Jugador 1</t>
  </si>
  <si>
    <t>Jugador 2</t>
  </si>
  <si>
    <t>Jugador 3</t>
  </si>
  <si>
    <t>Jugador 4</t>
  </si>
  <si>
    <t>Jugador 5</t>
  </si>
  <si>
    <t>Jugador 6</t>
  </si>
  <si>
    <t>Jugador 7</t>
  </si>
  <si>
    <t>Jugador 8</t>
  </si>
  <si>
    <t>Jugador 9</t>
  </si>
  <si>
    <t>Jugador 10</t>
  </si>
  <si>
    <t>Jugador 11</t>
  </si>
  <si>
    <t>Jugador 12</t>
  </si>
  <si>
    <t>Jugador 13</t>
  </si>
  <si>
    <t>Jugador 14</t>
  </si>
  <si>
    <t>Jugador 15</t>
  </si>
  <si>
    <t>Jugador 16</t>
  </si>
  <si>
    <t>Jugador 17</t>
  </si>
  <si>
    <t>Jugador 18</t>
  </si>
  <si>
    <t>Jugador 19</t>
  </si>
  <si>
    <t>Jugador 20</t>
  </si>
  <si>
    <t>Jugador 21</t>
  </si>
  <si>
    <t>Jugador 22</t>
  </si>
  <si>
    <t>Jugador 23</t>
  </si>
  <si>
    <t>Jugador 24</t>
  </si>
  <si>
    <t>Jugador 25</t>
  </si>
  <si>
    <t>Jugador 26</t>
  </si>
  <si>
    <t>Jugador 27</t>
  </si>
  <si>
    <t>Jugador 28</t>
  </si>
  <si>
    <t>Jugador 29</t>
  </si>
  <si>
    <t>Jugador 30</t>
  </si>
  <si>
    <t>MatchID</t>
  </si>
  <si>
    <t>Fecha</t>
  </si>
  <si>
    <t>Hora</t>
  </si>
  <si>
    <t>Grupo</t>
  </si>
  <si>
    <t>EquipoLocal</t>
  </si>
  <si>
    <t>EquipoVisita</t>
  </si>
  <si>
    <t>Sede</t>
  </si>
  <si>
    <t>GL_Real</t>
  </si>
  <si>
    <t>GV_Real</t>
  </si>
  <si>
    <t>Jugado</t>
  </si>
  <si>
    <t>A</t>
  </si>
  <si>
    <t>Mexico</t>
  </si>
  <si>
    <t>South Africa</t>
  </si>
  <si>
    <t>Estadio Azteca, Mexico City</t>
  </si>
  <si>
    <t>No</t>
  </si>
  <si>
    <t>South Korea</t>
  </si>
  <si>
    <t>Czechia</t>
  </si>
  <si>
    <t>Estadio Akron, Zapopan</t>
  </si>
  <si>
    <t>B</t>
  </si>
  <si>
    <t>Canada</t>
  </si>
  <si>
    <t>Bosnia &amp; Herzegovina</t>
  </si>
  <si>
    <t>BMO Field, Toronto</t>
  </si>
  <si>
    <t>D</t>
  </si>
  <si>
    <t>USA</t>
  </si>
  <si>
    <t>Paraguay</t>
  </si>
  <si>
    <t>SoFi Stadium, Inglewood</t>
  </si>
  <si>
    <t>Australia</t>
  </si>
  <si>
    <t>Türkiye</t>
  </si>
  <si>
    <t>BC Place, Vancouver</t>
  </si>
  <si>
    <t>Qatar</t>
  </si>
  <si>
    <t>Switzerland</t>
  </si>
  <si>
    <t>Levi’s Stadium, Santa Clara</t>
  </si>
  <si>
    <t>C</t>
  </si>
  <si>
    <t>Brazil</t>
  </si>
  <si>
    <t>Morocco</t>
  </si>
  <si>
    <t>MetLife Stadium, East Rutherford</t>
  </si>
  <si>
    <t>Haiti</t>
  </si>
  <si>
    <t>Scotland</t>
  </si>
  <si>
    <t>Gillette Stadium, Foxborough</t>
  </si>
  <si>
    <t>E</t>
  </si>
  <si>
    <t>Germany</t>
  </si>
  <si>
    <t>Curaçao</t>
  </si>
  <si>
    <t>NRG Stadium, Houston</t>
  </si>
  <si>
    <t>F</t>
  </si>
  <si>
    <t>Netherlands</t>
  </si>
  <si>
    <t>Japan</t>
  </si>
  <si>
    <t>AT&amp;T Stadium, Arlington</t>
  </si>
  <si>
    <t>Ivory Coast</t>
  </si>
  <si>
    <t>Ecuador</t>
  </si>
  <si>
    <t>Lincoln Financial Field, Philadelphia</t>
  </si>
  <si>
    <t>Sweden</t>
  </si>
  <si>
    <t>Tunisia</t>
  </si>
  <si>
    <t>Estadio BBVA, Monterrey</t>
  </si>
  <si>
    <t>H</t>
  </si>
  <si>
    <t>Spain</t>
  </si>
  <si>
    <t>Cape Verde</t>
  </si>
  <si>
    <t>Mercedes-Benz Stadium, Atlanta</t>
  </si>
  <si>
    <t>G</t>
  </si>
  <si>
    <t>Belgium</t>
  </si>
  <si>
    <t>Egypt</t>
  </si>
  <si>
    <t>Lumen Field, Seattle</t>
  </si>
  <si>
    <t>Saudi Arabia</t>
  </si>
  <si>
    <t>Uruguay</t>
  </si>
  <si>
    <t>Hard Rock Stadium, Miami Gardens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</si>
  <si>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</si>
  <si>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</si>
  <si>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</si>
  <si>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</si>
  <si>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</si>
  <si>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</si>
  <si>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</si>
  <si>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</si>
  <si>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</si>
  <si>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</si>
  <si>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Arrowhead Stadium, Kansas City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</si>
  <si>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</si>
  <si>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</si>
  <si>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</si>
  <si>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</si>
  <si>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</si>
  <si>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</si>
  <si>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</si>
  <si>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</si>
  <si>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</si>
  <si>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</si>
  <si>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</si>
  <si>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</si>
  <si>
    <t>PRONOSTICOS GENERALES</t>
  </si>
  <si>
    <t>Participante</t>
  </si>
  <si>
    <t>GL_Pron</t>
  </si>
  <si>
    <t>GV_Pron</t>
  </si>
  <si>
    <t>Puntos</t>
  </si>
  <si>
    <t>Ranking</t>
  </si>
  <si>
    <t>Posiciones por Grupo (marcadores reales)</t>
  </si>
  <si>
    <t>Equipo</t>
  </si>
  <si>
    <t>Pts</t>
  </si>
  <si>
    <t>DG</t>
  </si>
  <si>
    <t>GF</t>
  </si>
  <si>
    <t>Colores: Verde (1°-2°), Amarillo (3° clasificado), Rojo (eliminado).</t>
  </si>
  <si>
    <t>Grupo A</t>
  </si>
  <si>
    <t>Mejores terceros (Top 8)</t>
  </si>
  <si>
    <t>PJ</t>
  </si>
  <si>
    <t>P</t>
  </si>
  <si>
    <t>GC</t>
  </si>
  <si>
    <t>Clasifica</t>
  </si>
  <si>
    <t>Pos</t>
  </si>
  <si>
    <t>Q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</si>
  <si>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</si>
  <si>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</si>
  <si>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</si>
  <si>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</si>
  <si>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</si>
  <si>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</si>
  <si>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</si>
  <si>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</si>
  <si>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</si>
  <si>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</si>
  <si>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</si>
  <si>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Dashboard – Mundial 2026 (Fase de Grupos)</t>
  </si>
  <si>
    <t>Participantes y puntos</t>
  </si>
  <si>
    <t>Avance de la fase de grupos</t>
  </si>
  <si>
    <t>Top 10</t>
  </si>
  <si>
    <t>Jugados</t>
  </si>
  <si>
    <t>Pendientes</t>
  </si>
  <si>
    <t>% avance</t>
  </si>
  <si>
    <t>Estado</t>
  </si>
  <si>
    <t>Cantidad</t>
  </si>
  <si>
    <t>Avance por grupo</t>
  </si>
  <si>
    <t>%</t>
  </si>
  <si>
    <t>Tipo</t>
  </si>
  <si>
    <t>Directos (Top 2)</t>
  </si>
  <si>
    <t>Mejores terceros</t>
  </si>
  <si>
    <t>Clasificados directos (1° y 2° de cada grupo)</t>
  </si>
  <si>
    <t>1°</t>
  </si>
  <si>
    <t>2°</t>
  </si>
  <si>
    <t>Top 10 – Quiniela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</si>
</sst>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16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13"/>
      <name val="Calibri"/>
      <family val="2"/>
    </font>
    <font>
      <sz val="11"/>
      <color theme="0"/>
      <name val="Calibri"/>
      <family val="2"/>
      <scheme val="minor"/>
    </font>
    <font>
      <b/>
      <sz val="13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Protection="1">
      <protection locked="0"/>
    </xf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Border="1"/>
    <xf numFmtId="0" fontId="7" fillId="0" borderId="0" xfId="0" applyFont="1"/>
    <xf numFmtId="0" fontId="8" fillId="0" borderId="0" xfId="0" applyFont="1"/>
    <xf numFmtId="9" fontId="0" fillId="0" borderId="1" xfId="0" applyNumberFormat="1" applyBorder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1" fillId="3" borderId="4" xfId="0" applyFont="1" applyFill="1" applyBorder="1" applyAlignment="1">
      <alignment horizontal="center"/>
    </xf>
    <xf numFmtId="0" fontId="12" fillId="0" borderId="0" xfId="0" applyFont="1"/>
    <xf numFmtId="0" fontId="0" fillId="0" borderId="0" xfId="0" applyAlignment="1">
      <alignment horizontal="left"/>
    </xf>
    <xf numFmtId="0" fontId="14" fillId="3" borderId="1" xfId="0" applyFont="1" applyFill="1" applyBorder="1" applyAlignment="1">
      <alignment horizontal="center"/>
    </xf>
    <xf numFmtId="9" fontId="14" fillId="3" borderId="1" xfId="0" applyNumberFormat="1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10" fillId="0" borderId="0" xfId="0" applyFont="1" applyAlignment="1"/>
    <xf numFmtId="0" fontId="0" fillId="0" borderId="0" xfId="0" applyAlignment="1"/>
    <xf numFmtId="0" fontId="3" fillId="0" borderId="2" xfId="0" applyFont="1" applyBorder="1" applyAlignment="1"/>
    <xf numFmtId="0" fontId="0" fillId="0" borderId="2" xfId="0" applyBorder="1" applyAlignme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Avance: Jugados vs Pendientes</a:t>
            </a:r>
          </a:p>
        </c:rich>
      </c:tx>
      <c:layout>
        <c:manualLayout>
          <c:xMode val="edge"/>
          <c:yMode val="edge"/>
          <c:x val="0.20265889578224849"/>
          <c:y val="1.3865249427103181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DASHBOARD!$BE$6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8E-45C2-8842-3A631FDEBA0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8E-45C2-8842-3A631FDEBA0B}"/>
              </c:ext>
            </c:extLst>
          </c:dPt>
          <c:dLbls>
            <c:dLbl>
              <c:idx val="0"/>
              <c:layout>
                <c:manualLayout>
                  <c:x val="-0.42819122043509322"/>
                  <c:y val="0.12665905351658754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8E-45C2-8842-3A631FDEBA0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DASHBOARD!$BD$7:$BD$8</c:f>
              <c:strCache>
                <c:ptCount val="2"/>
                <c:pt idx="0">
                  <c:v>Jugados</c:v>
                </c:pt>
                <c:pt idx="1">
                  <c:v>Pendientes</c:v>
                </c:pt>
              </c:strCache>
            </c:strRef>
          </c:cat>
          <c:val>
            <c:numRef>
              <c:f>DASHBOARD!$BE$7:$BE$8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8E-45C2-8842-3A631FDEBA0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t"/>
      <c:layout>
        <c:manualLayout>
          <c:xMode val="edge"/>
          <c:yMode val="edge"/>
          <c:x val="0.37775824930249635"/>
          <c:y val="0.91164014983203401"/>
          <c:w val="0.22758641793805021"/>
          <c:h val="5.849443042756281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Avance por grupo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DASHBOARD!$G$10</c:f>
              <c:strCache>
                <c:ptCount val="1"/>
                <c:pt idx="0">
                  <c:v>%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8995-44E3-B078-3CA3407FF59C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8995-44E3-B078-3CA3407FF59C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8995-44E3-B078-3CA3407FF59C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8995-44E3-B078-3CA3407FF59C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8995-44E3-B078-3CA3407FF59C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8995-44E3-B078-3CA3407FF59C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1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1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8995-44E3-B078-3CA3407FF59C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8995-44E3-B078-3CA3407FF59C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8995-44E3-B078-3CA3407FF59C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4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4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8995-44E3-B078-3CA3407FF59C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8995-44E3-B078-3CA3407FF59C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8995-44E3-B078-3CA3407FF59C}"/>
              </c:ext>
            </c:extLst>
          </c:dPt>
          <c:val>
            <c:numRef>
              <c:f>DASHBOARD!$G$11:$G$22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995-44E3-B078-3CA3407FF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Grupo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DASHBOARD!$BE$22</c:f>
              <c:strCache>
                <c:ptCount val="1"/>
                <c:pt idx="0">
                  <c:v>Puntos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76F3-496C-A129-04BFF7807362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76F3-496C-A129-04BFF7807362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76F3-496C-A129-04BFF7807362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76F3-496C-A129-04BFF7807362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76F3-496C-A129-04BFF7807362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76F3-496C-A129-04BFF7807362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1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1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76F3-496C-A129-04BFF7807362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76F3-496C-A129-04BFF7807362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76F3-496C-A129-04BFF7807362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4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4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76F3-496C-A129-04BFF7807362}"/>
              </c:ext>
            </c:extLst>
          </c:dPt>
          <c:cat>
            <c:strRef>
              <c:f>DASHBOARD!$BD$23:$BD$32</c:f>
              <c:strCache>
                <c:ptCount val="10"/>
                <c:pt idx="0">
                  <c:v>Jugador 1</c:v>
                </c:pt>
                <c:pt idx="1">
                  <c:v>Jugador 2</c:v>
                </c:pt>
                <c:pt idx="2">
                  <c:v>Jugador 3</c:v>
                </c:pt>
                <c:pt idx="3">
                  <c:v>Jugador 4</c:v>
                </c:pt>
                <c:pt idx="4">
                  <c:v>Jugador 5</c:v>
                </c:pt>
                <c:pt idx="5">
                  <c:v>Jugador 6</c:v>
                </c:pt>
                <c:pt idx="6">
                  <c:v>Jugador 7</c:v>
                </c:pt>
                <c:pt idx="7">
                  <c:v>Jugador 8</c:v>
                </c:pt>
                <c:pt idx="8">
                  <c:v>Jugador 9</c:v>
                </c:pt>
                <c:pt idx="9">
                  <c:v>Jugador 10</c:v>
                </c:pt>
              </c:strCache>
            </c:strRef>
          </c:cat>
          <c:val>
            <c:numRef>
              <c:f>DASHBOARD!$BE$23:$BE$32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6F3-496C-A129-04BFF7807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Puntos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Participante</a:t>
                </a:r>
              </a:p>
            </c:rich>
          </c:tx>
          <c:layout>
            <c:manualLayout>
              <c:xMode val="edge"/>
              <c:yMode val="edge"/>
              <c:x val="0.47935695747136298"/>
              <c:y val="6.2551752160687049E-2"/>
            </c:manualLayout>
          </c:layout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Clasificados: 24 + 8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DASHBOARD!$BE$10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1C-46FA-A96D-F0046F001B4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1C-46FA-A96D-F0046F001B4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DASHBOARD!$BD$11:$BD$12</c:f>
              <c:strCache>
                <c:ptCount val="2"/>
                <c:pt idx="0">
                  <c:v>Directos (Top 2)</c:v>
                </c:pt>
                <c:pt idx="1">
                  <c:v>Mejores terceros</c:v>
                </c:pt>
              </c:strCache>
            </c:strRef>
          </c:cat>
          <c:val>
            <c:numRef>
              <c:f>DASHBOARD!$BE$11:$BE$12</c:f>
              <c:numCache>
                <c:formatCode>General</c:formatCode>
                <c:ptCount val="2"/>
                <c:pt idx="0">
                  <c:v>24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1C-46FA-A96D-F0046F001B4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70"/>
      </c:doughnutChart>
    </c:plotArea>
    <c:legend>
      <c:legendPos val="t"/>
      <c:layout>
        <c:manualLayout>
          <c:xMode val="edge"/>
          <c:yMode val="edge"/>
          <c:x val="0.32165536515064203"/>
          <c:y val="0.11067165645690839"/>
          <c:w val="0.35251056848991802"/>
          <c:h val="5.832900362443584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236221</xdr:colOff>
      <xdr:row>3</xdr:row>
      <xdr:rowOff>125342</xdr:rowOff>
    </xdr:from>
    <xdr:to>
      <xdr:col>2</xdr:col>
      <xdr:colOff>1007746</xdr:colOff>
      <xdr:row>7</xdr:row>
      <xdr:rowOff>9337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83CAF3-B019-467E-8577-C71DA2662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9021" y="715892"/>
          <a:ext cx="771525" cy="607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391533</xdr:colOff>
      <xdr:row>2</xdr:row>
      <xdr:rowOff>123265</xdr:rowOff>
    </xdr:from>
    <xdr:to>
      <xdr:col>15</xdr:col>
      <xdr:colOff>102758</xdr:colOff>
      <xdr:row>13</xdr:row>
      <xdr:rowOff>143431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B3B2CC-2D9F-4B3C-8E62-F35B007C9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0445" y="481853"/>
          <a:ext cx="2736813" cy="1992402"/>
        </a:xfrm>
        <a:prstGeom prst="rect">
          <a:avLst/>
        </a:prstGeom>
      </xdr:spPr>
    </xdr:pic>
    <xdr:clientData/>
  </xdr:twoCellAnchor>
  <xdr:twoCellAnchor editAs="oneCell">
    <xdr:from>
      <xdr:col>11</xdr:col>
      <xdr:colOff>219636</xdr:colOff>
      <xdr:row>14</xdr:row>
      <xdr:rowOff>157723</xdr:rowOff>
    </xdr:from>
    <xdr:to>
      <xdr:col>14</xdr:col>
      <xdr:colOff>270847</xdr:colOff>
      <xdr:row>26</xdr:row>
      <xdr:rowOff>107260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0C1C42-8940-4092-BF80-1B588393B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3665" y="2667841"/>
          <a:ext cx="1866564" cy="2101066"/>
        </a:xfrm>
        <a:prstGeom prst="rect">
          <a:avLst/>
        </a:prstGeom>
      </xdr:spPr>
    </xdr:pic>
    <xdr:clientData/>
  </xdr:twoCellAnchor>
  <xdr:twoCellAnchor editAs="oneCell">
    <xdr:from>
      <xdr:col>11</xdr:col>
      <xdr:colOff>106253</xdr:colOff>
      <xdr:row>28</xdr:row>
      <xdr:rowOff>59995</xdr:rowOff>
    </xdr:from>
    <xdr:to>
      <xdr:col>14</xdr:col>
      <xdr:colOff>311860</xdr:colOff>
      <xdr:row>46</xdr:row>
      <xdr:rowOff>135756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451DF44-42B5-DDED-54CB-970AD1CA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0282" y="5080230"/>
          <a:ext cx="2020960" cy="33030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1003934</xdr:colOff>
      <xdr:row>0</xdr:row>
      <xdr:rowOff>133351</xdr:rowOff>
    </xdr:from>
    <xdr:to>
      <xdr:col>5</xdr:col>
      <xdr:colOff>1013028</xdr:colOff>
      <xdr:row>7</xdr:row>
      <xdr:rowOff>69781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300796-6515-49E2-9692-C448F4098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9384" y="133351"/>
          <a:ext cx="1056844" cy="1203255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0</xdr:row>
      <xdr:rowOff>142875</xdr:rowOff>
    </xdr:from>
    <xdr:to>
      <xdr:col>1</xdr:col>
      <xdr:colOff>1236906</xdr:colOff>
      <xdr:row>5</xdr:row>
      <xdr:rowOff>50463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C07047-64CA-4C2A-846A-A44F49BC3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" y="142875"/>
          <a:ext cx="993066" cy="8124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1874520</xdr:colOff>
      <xdr:row>0</xdr:row>
      <xdr:rowOff>110490</xdr:rowOff>
    </xdr:from>
    <xdr:to>
      <xdr:col>2</xdr:col>
      <xdr:colOff>779249</xdr:colOff>
      <xdr:row>5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C0B46F-0F21-4869-9BE3-845D9A08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" y="110490"/>
          <a:ext cx="962129" cy="1080135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0</xdr:row>
      <xdr:rowOff>172117</xdr:rowOff>
    </xdr:from>
    <xdr:to>
      <xdr:col>1</xdr:col>
      <xdr:colOff>786911</xdr:colOff>
      <xdr:row>3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312090-F2E1-73E0-F363-D899FCEAF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172117"/>
          <a:ext cx="796436" cy="6375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245746</xdr:colOff>
      <xdr:row>1</xdr:row>
      <xdr:rowOff>43815</xdr:rowOff>
    </xdr:from>
    <xdr:to>
      <xdr:col>11</xdr:col>
      <xdr:colOff>136672</xdr:colOff>
      <xdr:row>11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9F25F1-A491-E0FC-7776-600647E38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71" y="310515"/>
          <a:ext cx="1809261" cy="200406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20953</xdr:colOff>
      <xdr:row>3</xdr:row>
      <xdr:rowOff>120016</xdr:rowOff>
    </xdr:from>
    <xdr:to>
      <xdr:col>2</xdr:col>
      <xdr:colOff>17695</xdr:colOff>
      <xdr:row>10</xdr:row>
      <xdr:rowOff>76201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5A34B8-D5D0-45AB-B900-9D830C3F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53" y="929641"/>
          <a:ext cx="1515027" cy="12230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565929</xdr:colOff>
      <xdr:row>30</xdr:row>
      <xdr:rowOff>140929</xdr:rowOff>
    </xdr:from>
    <xdr:ext cx="6012872" cy="36638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1730</xdr:colOff>
      <xdr:row>9</xdr:row>
      <xdr:rowOff>15555</xdr:rowOff>
    </xdr:from>
    <xdr:ext cx="12557761" cy="387927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1203246</xdr:colOff>
      <xdr:row>53</xdr:row>
      <xdr:rowOff>22443</xdr:rowOff>
    </xdr:from>
    <xdr:ext cx="12566074" cy="36423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1179878</xdr:colOff>
      <xdr:row>30</xdr:row>
      <xdr:rowOff>120625</xdr:rowOff>
    </xdr:from>
    <xdr:ext cx="6078683" cy="3674227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0</xdr:col>
      <xdr:colOff>287543</xdr:colOff>
      <xdr:row>34</xdr:row>
      <xdr:rowOff>175484</xdr:rowOff>
    </xdr:from>
    <xdr:to>
      <xdr:col>1</xdr:col>
      <xdr:colOff>249580</xdr:colOff>
      <xdr:row>43</xdr:row>
      <xdr:rowOff>136264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C800E52-9B6A-4B42-B711-ACCB915F2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7543" y="6966249"/>
          <a:ext cx="1456005" cy="1624965"/>
        </a:xfrm>
        <a:prstGeom prst="rect">
          <a:avLst/>
        </a:prstGeom>
      </xdr:spPr>
    </xdr:pic>
    <xdr:clientData/>
  </xdr:twoCellAnchor>
  <xdr:twoCellAnchor editAs="oneCell">
    <xdr:from>
      <xdr:col>0</xdr:col>
      <xdr:colOff>504265</xdr:colOff>
      <xdr:row>1</xdr:row>
      <xdr:rowOff>89648</xdr:rowOff>
    </xdr:from>
    <xdr:to>
      <xdr:col>1</xdr:col>
      <xdr:colOff>114894</xdr:colOff>
      <xdr:row>7</xdr:row>
      <xdr:rowOff>1907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455BED3-77EF-43A1-8A86-9E2320ED5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265" y="268942"/>
          <a:ext cx="1112217" cy="1234553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336176</xdr:colOff>
      <xdr:row>8</xdr:row>
      <xdr:rowOff>143771</xdr:rowOff>
    </xdr:from>
    <xdr:to>
      <xdr:col>1</xdr:col>
      <xdr:colOff>94041</xdr:colOff>
      <xdr:row>13</xdr:row>
      <xdr:rowOff>54347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95E5139-58A3-45FF-A721-6632ECEA1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6176" y="1824653"/>
          <a:ext cx="1272788" cy="1023545"/>
        </a:xfrm>
        <a:prstGeom prst="rect">
          <a:avLst/>
        </a:prstGeom>
      </xdr:spPr>
    </xdr:pic>
    <xdr:clientData/>
  </xdr:twoCellAnchor>
  <xdr:twoCellAnchor editAs="oneCell">
    <xdr:from>
      <xdr:col>0</xdr:col>
      <xdr:colOff>423919</xdr:colOff>
      <xdr:row>14</xdr:row>
      <xdr:rowOff>12467</xdr:rowOff>
    </xdr:from>
    <xdr:to>
      <xdr:col>1</xdr:col>
      <xdr:colOff>77322</xdr:colOff>
      <xdr:row>22</xdr:row>
      <xdr:rowOff>93343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E306A24-8E68-4434-8E02-F85C813C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3919" y="2993232"/>
          <a:ext cx="1154991" cy="1503799"/>
        </a:xfrm>
        <a:prstGeom prst="rect">
          <a:avLst/>
        </a:prstGeom>
      </xdr:spPr>
    </xdr:pic>
    <xdr:clientData/>
  </xdr:twoCellAnchor>
  <xdr:twoCellAnchor editAs="oneCell">
    <xdr:from>
      <xdr:col>0</xdr:col>
      <xdr:colOff>539338</xdr:colOff>
      <xdr:row>24</xdr:row>
      <xdr:rowOff>63423</xdr:rowOff>
    </xdr:from>
    <xdr:to>
      <xdr:col>1</xdr:col>
      <xdr:colOff>55491</xdr:colOff>
      <xdr:row>32</xdr:row>
      <xdr:rowOff>59262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D19FCFF-E285-4212-991F-723E99B8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9338" y="4837129"/>
          <a:ext cx="1021551" cy="1661929"/>
        </a:xfrm>
        <a:prstGeom prst="rect">
          <a:avLst/>
        </a:prstGeom>
      </xdr:spPr>
    </xdr:pic>
    <xdr:clientData/>
  </xdr:twoCellAnchor>
  <xdr:twoCellAnchor editAs="oneCell">
    <xdr:from>
      <xdr:col>0</xdr:col>
      <xdr:colOff>496481</xdr:colOff>
      <xdr:row>47</xdr:row>
      <xdr:rowOff>90931</xdr:rowOff>
    </xdr:from>
    <xdr:to>
      <xdr:col>1</xdr:col>
      <xdr:colOff>440563</xdr:colOff>
      <xdr:row>54</xdr:row>
      <xdr:rowOff>754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CE924F9-F50E-4B43-AFDF-583D14A4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6481" y="9027113"/>
          <a:ext cx="1456479" cy="11144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artidos" displayName="tPartidos" ref="A1:J73">
  <autoFilter ref="A1:J73" xr:uid="{00000000-0009-0000-0100-000001000000}"/>
  <tableColumns count="10">
    <tableColumn id="1" xr3:uid="{00000000-0010-0000-0000-000001000000}" name="MatchID"/>
    <tableColumn id="2" xr3:uid="{00000000-0010-0000-0000-000002000000}" name="Fecha"/>
    <tableColumn id="3" xr3:uid="{00000000-0010-0000-0000-000003000000}" name="Hora"/>
    <tableColumn id="4" xr3:uid="{00000000-0010-0000-0000-000004000000}" name="Grupo"/>
    <tableColumn id="5" xr3:uid="{00000000-0010-0000-0000-000005000000}" name="EquipoLocal"/>
    <tableColumn id="6" xr3:uid="{00000000-0010-0000-0000-000006000000}" name="EquipoVisita"/>
    <tableColumn id="7" xr3:uid="{00000000-0010-0000-0000-000007000000}" name="Sede"/>
    <tableColumn id="8" xr3:uid="{00000000-0010-0000-0000-000008000000}" name="GL_Real"/>
    <tableColumn id="9" xr3:uid="{00000000-0010-0000-0000-000009000000}" name="GV_Real"/>
    <tableColumn id="10" xr3:uid="{00000000-0010-0000-0000-00000A000000}" name="Jug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icks" displayName="tPicks" ref="B9:F609">
  <autoFilter ref="B9:F609" xr:uid="{00000000-0009-0000-0100-000002000000}"/>
  <tableColumns count="5">
    <tableColumn id="1" xr3:uid="{00000000-0010-0000-0100-000001000000}" name="Participante"/>
    <tableColumn id="2" xr3:uid="{00000000-0010-0000-0100-000002000000}" name="MatchID"/>
    <tableColumn id="3" xr3:uid="{00000000-0010-0000-0100-000003000000}" name="GL_Pron"/>
    <tableColumn id="4" xr3:uid="{00000000-0010-0000-0100-000004000000}" name="GV_Pron"/>
    <tableColumn id="5" xr3:uid="{00000000-0010-0000-0100-000005000000}" name="Pun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nking" displayName="tRanking" ref="B7:C57">
  <autoFilter ref="B7:C57" xr:uid="{00000000-0009-0000-0100-000003000000}"/>
  <tableColumns count="2">
    <tableColumn id="1" xr3:uid="{00000000-0010-0000-0200-000001000000}" name="Participante"/>
    <tableColumn id="2" xr3:uid="{00000000-0010-0000-0200-000002000000}" name="Punto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ColWidth="8.85546875" defaultRowHeight="14.45"/>
  <cols>
    <col min="1" max="1" width="130" customWidth="1"/>
  </cols>
  <sheetData>
    <row r="1" spans="1:1" ht="21" customHeight="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40"/>
  <sheetViews>
    <sheetView showGridLines="0" tabSelected="1" workbookViewId="0">
      <pane ySplit="10" topLeftCell="A11" activePane="bottomLeft" state="frozen"/>
      <selection pane="bottomLeft" activeCell="C17" sqref="C17"/>
    </sheetView>
  </sheetViews>
  <sheetFormatPr defaultColWidth="8.85546875" defaultRowHeight="14.45"/>
  <cols>
    <col min="2" max="2" width="40" customWidth="1"/>
    <col min="3" max="3" width="28" customWidth="1"/>
  </cols>
  <sheetData>
    <row r="3" spans="2:3" ht="18" customHeight="1">
      <c r="B3" s="2" t="s">
        <v>4</v>
      </c>
    </row>
    <row r="5" spans="2:3">
      <c r="B5" t="s">
        <v>5</v>
      </c>
      <c r="C5" s="24">
        <v>3</v>
      </c>
    </row>
    <row r="6" spans="2:3">
      <c r="B6" t="s">
        <v>6</v>
      </c>
      <c r="C6" s="24">
        <v>1</v>
      </c>
    </row>
    <row r="8" spans="2:3">
      <c r="B8" t="s">
        <v>7</v>
      </c>
      <c r="C8" t="s">
        <v>8</v>
      </c>
    </row>
    <row r="9" spans="2:3" ht="15" thickBot="1"/>
    <row r="10" spans="2:3" ht="15" thickBot="1">
      <c r="B10" s="22" t="s">
        <v>9</v>
      </c>
    </row>
    <row r="11" spans="2:3">
      <c r="B11" s="19" t="s">
        <v>10</v>
      </c>
    </row>
    <row r="12" spans="2:3">
      <c r="B12" s="20" t="s">
        <v>11</v>
      </c>
    </row>
    <row r="13" spans="2:3">
      <c r="B13" s="20" t="s">
        <v>12</v>
      </c>
    </row>
    <row r="14" spans="2:3">
      <c r="B14" s="20" t="s">
        <v>13</v>
      </c>
    </row>
    <row r="15" spans="2:3">
      <c r="B15" s="20" t="s">
        <v>14</v>
      </c>
    </row>
    <row r="16" spans="2:3">
      <c r="B16" s="20" t="s">
        <v>15</v>
      </c>
    </row>
    <row r="17" spans="2:2">
      <c r="B17" s="20" t="s">
        <v>16</v>
      </c>
    </row>
    <row r="18" spans="2:2">
      <c r="B18" s="20" t="s">
        <v>17</v>
      </c>
    </row>
    <row r="19" spans="2:2">
      <c r="B19" s="20" t="s">
        <v>18</v>
      </c>
    </row>
    <row r="20" spans="2:2">
      <c r="B20" s="20" t="s">
        <v>19</v>
      </c>
    </row>
    <row r="21" spans="2:2">
      <c r="B21" s="20" t="s">
        <v>20</v>
      </c>
    </row>
    <row r="22" spans="2:2">
      <c r="B22" s="20" t="s">
        <v>21</v>
      </c>
    </row>
    <row r="23" spans="2:2">
      <c r="B23" s="20" t="s">
        <v>22</v>
      </c>
    </row>
    <row r="24" spans="2:2">
      <c r="B24" s="20" t="s">
        <v>23</v>
      </c>
    </row>
    <row r="25" spans="2:2">
      <c r="B25" s="20" t="s">
        <v>24</v>
      </c>
    </row>
    <row r="26" spans="2:2">
      <c r="B26" s="20" t="s">
        <v>25</v>
      </c>
    </row>
    <row r="27" spans="2:2">
      <c r="B27" s="20" t="s">
        <v>26</v>
      </c>
    </row>
    <row r="28" spans="2:2">
      <c r="B28" s="20" t="s">
        <v>27</v>
      </c>
    </row>
    <row r="29" spans="2:2">
      <c r="B29" s="20" t="s">
        <v>28</v>
      </c>
    </row>
    <row r="30" spans="2:2">
      <c r="B30" s="20" t="s">
        <v>29</v>
      </c>
    </row>
    <row r="31" spans="2:2">
      <c r="B31" s="20" t="s">
        <v>30</v>
      </c>
    </row>
    <row r="32" spans="2:2">
      <c r="B32" s="20" t="s">
        <v>31</v>
      </c>
    </row>
    <row r="33" spans="2:2">
      <c r="B33" s="20" t="s">
        <v>32</v>
      </c>
    </row>
    <row r="34" spans="2:2">
      <c r="B34" s="20" t="s">
        <v>33</v>
      </c>
    </row>
    <row r="35" spans="2:2">
      <c r="B35" s="20" t="s">
        <v>34</v>
      </c>
    </row>
    <row r="36" spans="2:2">
      <c r="B36" s="20" t="s">
        <v>35</v>
      </c>
    </row>
    <row r="37" spans="2:2">
      <c r="B37" s="20" t="s">
        <v>36</v>
      </c>
    </row>
    <row r="38" spans="2:2">
      <c r="B38" s="20" t="s">
        <v>37</v>
      </c>
    </row>
    <row r="39" spans="2:2">
      <c r="B39" s="20" t="s">
        <v>38</v>
      </c>
    </row>
    <row r="40" spans="2:2" ht="15" thickBot="1">
      <c r="B40" s="21" t="s">
        <v>39</v>
      </c>
    </row>
  </sheetData>
  <phoneticPr fontId="1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showGridLines="0" zoomScale="85" zoomScaleNormal="85" workbookViewId="0">
      <pane ySplit="1" topLeftCell="A2" activePane="bottomLeft" state="frozen"/>
      <selection pane="bottomLeft" activeCell="T23" sqref="T23"/>
    </sheetView>
  </sheetViews>
  <sheetFormatPr defaultColWidth="8.85546875" defaultRowHeight="14.45"/>
  <cols>
    <col min="1" max="1" width="10" customWidth="1"/>
    <col min="2" max="2" width="12" customWidth="1"/>
    <col min="3" max="3" width="10" customWidth="1"/>
    <col min="4" max="4" width="8" customWidth="1"/>
    <col min="5" max="6" width="22" customWidth="1"/>
    <col min="7" max="7" width="34" customWidth="1"/>
    <col min="8" max="10" width="10" customWidth="1"/>
  </cols>
  <sheetData>
    <row r="1" spans="1:10">
      <c r="A1" s="28" t="s">
        <v>40</v>
      </c>
      <c r="B1" s="28" t="s">
        <v>41</v>
      </c>
      <c r="C1" s="28" t="s">
        <v>42</v>
      </c>
      <c r="D1" s="28" t="s">
        <v>43</v>
      </c>
      <c r="E1" s="28" t="s">
        <v>44</v>
      </c>
      <c r="F1" s="28" t="s">
        <v>45</v>
      </c>
      <c r="G1" s="28" t="s">
        <v>46</v>
      </c>
      <c r="H1" s="28" t="s">
        <v>47</v>
      </c>
      <c r="I1" s="28" t="s">
        <v>48</v>
      </c>
      <c r="J1" s="28" t="s">
        <v>49</v>
      </c>
    </row>
    <row r="2" spans="1:10">
      <c r="A2" s="4">
        <v>1</v>
      </c>
      <c r="B2" s="5">
        <v>46184</v>
      </c>
      <c r="C2" s="6">
        <v>0.54166666666666663</v>
      </c>
      <c r="D2" s="4" t="s">
        <v>50</v>
      </c>
      <c r="E2" s="4" t="s">
        <v>51</v>
      </c>
      <c r="F2" s="4" t="s">
        <v>52</v>
      </c>
      <c r="G2" s="4" t="s">
        <v>53</v>
      </c>
      <c r="H2" s="7"/>
      <c r="I2" s="7"/>
      <c r="J2" s="7" t="s">
        <v>54</v>
      </c>
    </row>
    <row r="3" spans="1:10">
      <c r="A3" s="4">
        <v>2</v>
      </c>
      <c r="B3" s="5">
        <v>46184</v>
      </c>
      <c r="C3" s="6">
        <v>0.83333333333333337</v>
      </c>
      <c r="D3" s="4" t="s">
        <v>50</v>
      </c>
      <c r="E3" s="4" t="s">
        <v>55</v>
      </c>
      <c r="F3" s="4" t="s">
        <v>56</v>
      </c>
      <c r="G3" s="4" t="s">
        <v>57</v>
      </c>
      <c r="H3" s="7"/>
      <c r="I3" s="7"/>
      <c r="J3" s="7" t="s">
        <v>54</v>
      </c>
    </row>
    <row r="4" spans="1:10">
      <c r="A4" s="4">
        <v>3</v>
      </c>
      <c r="B4" s="5">
        <v>46185</v>
      </c>
      <c r="C4" s="6">
        <v>0.54166666666666663</v>
      </c>
      <c r="D4" s="4" t="s">
        <v>58</v>
      </c>
      <c r="E4" s="4" t="s">
        <v>59</v>
      </c>
      <c r="F4" s="4" t="s">
        <v>60</v>
      </c>
      <c r="G4" s="4" t="s">
        <v>61</v>
      </c>
      <c r="H4" s="7"/>
      <c r="I4" s="7"/>
      <c r="J4" s="7" t="s">
        <v>54</v>
      </c>
    </row>
    <row r="5" spans="1:10">
      <c r="A5" s="4">
        <v>4</v>
      </c>
      <c r="B5" s="5">
        <v>46185</v>
      </c>
      <c r="C5" s="6">
        <v>0.79166666666666663</v>
      </c>
      <c r="D5" s="4" t="s">
        <v>62</v>
      </c>
      <c r="E5" s="4" t="s">
        <v>63</v>
      </c>
      <c r="F5" s="4" t="s">
        <v>64</v>
      </c>
      <c r="G5" s="4" t="s">
        <v>65</v>
      </c>
      <c r="H5" s="7"/>
      <c r="I5" s="7"/>
      <c r="J5" s="7" t="s">
        <v>54</v>
      </c>
    </row>
    <row r="6" spans="1:10">
      <c r="A6" s="4">
        <v>5</v>
      </c>
      <c r="B6" s="5">
        <v>46185</v>
      </c>
      <c r="C6" s="6">
        <v>0.91666666666666663</v>
      </c>
      <c r="D6" s="4" t="s">
        <v>62</v>
      </c>
      <c r="E6" s="4" t="s">
        <v>66</v>
      </c>
      <c r="F6" s="4" t="s">
        <v>67</v>
      </c>
      <c r="G6" s="4" t="s">
        <v>68</v>
      </c>
      <c r="H6" s="7"/>
      <c r="I6" s="7"/>
      <c r="J6" s="7" t="s">
        <v>54</v>
      </c>
    </row>
    <row r="7" spans="1:10">
      <c r="A7" s="4">
        <v>6</v>
      </c>
      <c r="B7" s="5">
        <v>46186</v>
      </c>
      <c r="C7" s="6">
        <v>0.54166666666666663</v>
      </c>
      <c r="D7" s="4" t="s">
        <v>58</v>
      </c>
      <c r="E7" s="4" t="s">
        <v>69</v>
      </c>
      <c r="F7" s="4" t="s">
        <v>70</v>
      </c>
      <c r="G7" s="4" t="s">
        <v>71</v>
      </c>
      <c r="H7" s="7"/>
      <c r="I7" s="7"/>
      <c r="J7" s="7" t="s">
        <v>54</v>
      </c>
    </row>
    <row r="8" spans="1:10">
      <c r="A8" s="4">
        <v>7</v>
      </c>
      <c r="B8" s="5">
        <v>46186</v>
      </c>
      <c r="C8" s="6">
        <v>0.66666666666666663</v>
      </c>
      <c r="D8" s="4" t="s">
        <v>72</v>
      </c>
      <c r="E8" s="4" t="s">
        <v>73</v>
      </c>
      <c r="F8" s="4" t="s">
        <v>74</v>
      </c>
      <c r="G8" s="4" t="s">
        <v>75</v>
      </c>
      <c r="H8" s="7"/>
      <c r="I8" s="7"/>
      <c r="J8" s="7" t="s">
        <v>54</v>
      </c>
    </row>
    <row r="9" spans="1:10">
      <c r="A9" s="4">
        <v>8</v>
      </c>
      <c r="B9" s="5">
        <v>46186</v>
      </c>
      <c r="C9" s="6">
        <v>0.79166666666666663</v>
      </c>
      <c r="D9" s="4" t="s">
        <v>72</v>
      </c>
      <c r="E9" s="4" t="s">
        <v>76</v>
      </c>
      <c r="F9" s="4" t="s">
        <v>77</v>
      </c>
      <c r="G9" s="4" t="s">
        <v>78</v>
      </c>
      <c r="H9" s="7"/>
      <c r="I9" s="7"/>
      <c r="J9" s="7" t="s">
        <v>54</v>
      </c>
    </row>
    <row r="10" spans="1:10">
      <c r="A10" s="4">
        <v>9</v>
      </c>
      <c r="B10" s="5">
        <v>46187</v>
      </c>
      <c r="C10" s="6">
        <v>0.45833333333333331</v>
      </c>
      <c r="D10" s="4" t="s">
        <v>79</v>
      </c>
      <c r="E10" s="4" t="s">
        <v>80</v>
      </c>
      <c r="F10" s="4" t="s">
        <v>81</v>
      </c>
      <c r="G10" s="4" t="s">
        <v>82</v>
      </c>
      <c r="H10" s="7"/>
      <c r="I10" s="7"/>
      <c r="J10" s="7" t="s">
        <v>54</v>
      </c>
    </row>
    <row r="11" spans="1:10">
      <c r="A11" s="4">
        <v>10</v>
      </c>
      <c r="B11" s="5">
        <v>46187</v>
      </c>
      <c r="C11" s="6">
        <v>0.58333333333333337</v>
      </c>
      <c r="D11" s="4" t="s">
        <v>83</v>
      </c>
      <c r="E11" s="4" t="s">
        <v>84</v>
      </c>
      <c r="F11" s="4" t="s">
        <v>85</v>
      </c>
      <c r="G11" s="4" t="s">
        <v>86</v>
      </c>
      <c r="H11" s="7"/>
      <c r="I11" s="7"/>
      <c r="J11" s="7" t="s">
        <v>54</v>
      </c>
    </row>
    <row r="12" spans="1:10">
      <c r="A12" s="4">
        <v>11</v>
      </c>
      <c r="B12" s="5">
        <v>46187</v>
      </c>
      <c r="C12" s="6">
        <v>0.70833333333333337</v>
      </c>
      <c r="D12" s="4" t="s">
        <v>79</v>
      </c>
      <c r="E12" s="4" t="s">
        <v>87</v>
      </c>
      <c r="F12" s="4" t="s">
        <v>88</v>
      </c>
      <c r="G12" s="4" t="s">
        <v>89</v>
      </c>
      <c r="H12" s="7"/>
      <c r="I12" s="7"/>
      <c r="J12" s="7" t="s">
        <v>54</v>
      </c>
    </row>
    <row r="13" spans="1:10">
      <c r="A13" s="4">
        <v>12</v>
      </c>
      <c r="B13" s="5">
        <v>46187</v>
      </c>
      <c r="C13" s="6">
        <v>0.83333333333333337</v>
      </c>
      <c r="D13" s="4" t="s">
        <v>83</v>
      </c>
      <c r="E13" s="4" t="s">
        <v>90</v>
      </c>
      <c r="F13" s="4" t="s">
        <v>91</v>
      </c>
      <c r="G13" s="4" t="s">
        <v>92</v>
      </c>
      <c r="H13" s="7"/>
      <c r="I13" s="7"/>
      <c r="J13" s="7" t="s">
        <v>54</v>
      </c>
    </row>
    <row r="14" spans="1:10">
      <c r="A14" s="4">
        <v>13</v>
      </c>
      <c r="B14" s="5">
        <v>46188</v>
      </c>
      <c r="C14" s="6">
        <v>0.41666666666666669</v>
      </c>
      <c r="D14" s="4" t="s">
        <v>93</v>
      </c>
      <c r="E14" s="4" t="s">
        <v>94</v>
      </c>
      <c r="F14" s="4" t="s">
        <v>95</v>
      </c>
      <c r="G14" s="4" t="s">
        <v>96</v>
      </c>
      <c r="H14" s="7"/>
      <c r="I14" s="7"/>
      <c r="J14" s="7" t="s">
        <v>54</v>
      </c>
    </row>
    <row r="15" spans="1:10">
      <c r="A15" s="4">
        <v>14</v>
      </c>
      <c r="B15" s="5">
        <v>46188</v>
      </c>
      <c r="C15" s="6">
        <v>0.54166666666666663</v>
      </c>
      <c r="D15" s="4" t="s">
        <v>97</v>
      </c>
      <c r="E15" s="4" t="s">
        <v>98</v>
      </c>
      <c r="F15" s="4" t="s">
        <v>99</v>
      </c>
      <c r="G15" s="4" t="s">
        <v>100</v>
      </c>
      <c r="H15" s="7"/>
      <c r="I15" s="7"/>
      <c r="J15" s="7" t="s">
        <v>54</v>
      </c>
    </row>
    <row r="16" spans="1:10">
      <c r="A16" s="4">
        <v>15</v>
      </c>
      <c r="B16" s="5">
        <v>46188</v>
      </c>
      <c r="C16" s="6">
        <v>0.66666666666666663</v>
      </c>
      <c r="D16" s="4" t="s">
        <v>93</v>
      </c>
      <c r="E16" s="4" t="s">
        <v>101</v>
      </c>
      <c r="F16" s="4" t="s">
        <v>102</v>
      </c>
      <c r="G16" s="4" t="s">
        <v>103</v>
      </c>
      <c r="H16" s="7"/>
      <c r="I16" s="7"/>
      <c r="J16" s="7" t="s">
        <v>54</v>
      </c>
    </row>
    <row r="17" spans="1:10">
      <c r="A17" s="4">
        <v>16</v>
      </c>
      <c r="B17" s="5">
        <v>46188</v>
      </c>
      <c r="C17" s="6">
        <v>0.79166666666666663</v>
      </c>
      <c r="D17" s="4" t="s">
        <v>97</v>
      </c>
      <c r="E17" s="4" t="s">
        <v>104</v>
      </c>
      <c r="F17" s="4" t="s">
        <v>105</v>
      </c>
      <c r="G17" s="4" t="s">
        <v>65</v>
      </c>
      <c r="H17" s="7"/>
      <c r="I17" s="7"/>
      <c r="J17" s="7" t="s">
        <v>54</v>
      </c>
    </row>
    <row r="18" spans="1:10">
      <c r="A18" s="4">
        <v>17</v>
      </c>
      <c r="B18" s="5">
        <v>46189</v>
      </c>
      <c r="C18" s="6">
        <v>0.54166666666666663</v>
      </c>
      <c r="D18" s="4" t="s">
        <v>106</v>
      </c>
      <c r="E18" s="4" t="s">
        <v>107</v>
      </c>
      <c r="F18" s="4" t="s">
        <v>108</v>
      </c>
      <c r="G18" s="4" t="s">
        <v>75</v>
      </c>
      <c r="H18" s="7"/>
      <c r="I18" s="7"/>
      <c r="J18" s="7" t="s">
        <v>54</v>
      </c>
    </row>
    <row r="19" spans="1:10">
      <c r="A19" s="4">
        <v>18</v>
      </c>
      <c r="B19" s="5">
        <v>46189</v>
      </c>
      <c r="C19" s="6">
        <v>0.66666666666666663</v>
      </c>
      <c r="D19" s="4" t="s">
        <v>106</v>
      </c>
      <c r="E19" s="4" t="s">
        <v>109</v>
      </c>
      <c r="F19" s="4" t="s">
        <v>110</v>
      </c>
      <c r="G19" s="4" t="s">
        <v>78</v>
      </c>
      <c r="H19" s="7"/>
      <c r="I19" s="7"/>
      <c r="J19" s="7" t="s">
        <v>54</v>
      </c>
    </row>
    <row r="20" spans="1:10">
      <c r="A20" s="4">
        <v>19</v>
      </c>
      <c r="B20" s="5">
        <v>46189</v>
      </c>
      <c r="C20" s="6">
        <v>0.79166666666666663</v>
      </c>
      <c r="D20" s="4" t="s">
        <v>111</v>
      </c>
      <c r="E20" s="4" t="s">
        <v>112</v>
      </c>
      <c r="F20" s="4" t="s">
        <v>113</v>
      </c>
      <c r="G20" s="4" t="s">
        <v>114</v>
      </c>
      <c r="H20" s="7"/>
      <c r="I20" s="7"/>
      <c r="J20" s="7" t="s">
        <v>54</v>
      </c>
    </row>
    <row r="21" spans="1:10">
      <c r="A21" s="4">
        <v>20</v>
      </c>
      <c r="B21" s="5">
        <v>46188</v>
      </c>
      <c r="C21" s="6">
        <v>0.91666666666666663</v>
      </c>
      <c r="D21" s="4" t="s">
        <v>111</v>
      </c>
      <c r="E21" s="4" t="s">
        <v>115</v>
      </c>
      <c r="F21" s="4" t="s">
        <v>116</v>
      </c>
      <c r="G21" s="4" t="s">
        <v>71</v>
      </c>
      <c r="H21" s="7"/>
      <c r="I21" s="7"/>
      <c r="J21" s="7" t="s">
        <v>54</v>
      </c>
    </row>
    <row r="22" spans="1:10">
      <c r="A22" s="4">
        <v>21</v>
      </c>
      <c r="B22" s="5">
        <v>46190</v>
      </c>
      <c r="C22" s="6">
        <v>0.45833333333333331</v>
      </c>
      <c r="D22" s="4" t="s">
        <v>117</v>
      </c>
      <c r="E22" s="4" t="s">
        <v>118</v>
      </c>
      <c r="F22" s="4" t="s">
        <v>119</v>
      </c>
      <c r="G22" s="4" t="s">
        <v>82</v>
      </c>
      <c r="H22" s="7"/>
      <c r="I22" s="7"/>
      <c r="J22" s="7" t="s">
        <v>54</v>
      </c>
    </row>
    <row r="23" spans="1:10">
      <c r="A23" s="4">
        <v>22</v>
      </c>
      <c r="B23" s="5">
        <v>46190</v>
      </c>
      <c r="C23" s="6">
        <v>0.58333333333333337</v>
      </c>
      <c r="D23" s="4" t="s">
        <v>120</v>
      </c>
      <c r="E23" s="4" t="s">
        <v>121</v>
      </c>
      <c r="F23" s="4" t="s">
        <v>122</v>
      </c>
      <c r="G23" s="4" t="s">
        <v>86</v>
      </c>
      <c r="H23" s="7"/>
      <c r="I23" s="7"/>
      <c r="J23" s="7" t="s">
        <v>54</v>
      </c>
    </row>
    <row r="24" spans="1:10">
      <c r="A24" s="4">
        <v>23</v>
      </c>
      <c r="B24" s="5">
        <v>46190</v>
      </c>
      <c r="C24" s="6">
        <v>0.70833333333333337</v>
      </c>
      <c r="D24" s="4" t="s">
        <v>120</v>
      </c>
      <c r="E24" s="4" t="s">
        <v>123</v>
      </c>
      <c r="F24" s="4" t="s">
        <v>124</v>
      </c>
      <c r="G24" s="4" t="s">
        <v>61</v>
      </c>
      <c r="H24" s="7"/>
      <c r="I24" s="7"/>
      <c r="J24" s="7" t="s">
        <v>54</v>
      </c>
    </row>
    <row r="25" spans="1:10">
      <c r="A25" s="4">
        <v>24</v>
      </c>
      <c r="B25" s="5">
        <v>46190</v>
      </c>
      <c r="C25" s="6">
        <v>0.83333333333333337</v>
      </c>
      <c r="D25" s="4" t="s">
        <v>117</v>
      </c>
      <c r="E25" s="4" t="s">
        <v>125</v>
      </c>
      <c r="F25" s="4" t="s">
        <v>126</v>
      </c>
      <c r="G25" s="4" t="s">
        <v>53</v>
      </c>
      <c r="H25" s="7"/>
      <c r="I25" s="7"/>
      <c r="J25" s="7" t="s">
        <v>54</v>
      </c>
    </row>
    <row r="26" spans="1:10">
      <c r="A26" s="4">
        <v>25</v>
      </c>
      <c r="B26" s="5">
        <v>46191</v>
      </c>
      <c r="C26" s="6">
        <v>0.41666666666666669</v>
      </c>
      <c r="D26" s="4" t="s">
        <v>50</v>
      </c>
      <c r="E26" s="4" t="s">
        <v>56</v>
      </c>
      <c r="F26" s="4" t="s">
        <v>52</v>
      </c>
      <c r="G26" s="4" t="s">
        <v>96</v>
      </c>
      <c r="H26" s="7"/>
      <c r="I26" s="7"/>
      <c r="J26" s="7" t="s">
        <v>54</v>
      </c>
    </row>
    <row r="27" spans="1:10">
      <c r="A27" s="4">
        <v>26</v>
      </c>
      <c r="B27" s="5">
        <v>46191</v>
      </c>
      <c r="C27" s="6">
        <v>0.54166666666666663</v>
      </c>
      <c r="D27" s="4" t="s">
        <v>58</v>
      </c>
      <c r="E27" s="4" t="s">
        <v>70</v>
      </c>
      <c r="F27" s="4" t="s">
        <v>60</v>
      </c>
      <c r="G27" s="4" t="s">
        <v>65</v>
      </c>
      <c r="H27" s="7"/>
      <c r="I27" s="7"/>
      <c r="J27" s="7" t="s">
        <v>54</v>
      </c>
    </row>
    <row r="28" spans="1:10">
      <c r="A28" s="4">
        <v>27</v>
      </c>
      <c r="B28" s="5">
        <v>46191</v>
      </c>
      <c r="C28" s="6">
        <v>0.66666666666666663</v>
      </c>
      <c r="D28" s="4" t="s">
        <v>58</v>
      </c>
      <c r="E28" s="4" t="s">
        <v>59</v>
      </c>
      <c r="F28" s="4" t="s">
        <v>69</v>
      </c>
      <c r="G28" s="4" t="s">
        <v>68</v>
      </c>
      <c r="H28" s="7"/>
      <c r="I28" s="7"/>
      <c r="J28" s="7" t="s">
        <v>54</v>
      </c>
    </row>
    <row r="29" spans="1:10">
      <c r="A29" s="4">
        <v>28</v>
      </c>
      <c r="B29" s="5">
        <v>46191</v>
      </c>
      <c r="C29" s="6">
        <v>0.79166666666666663</v>
      </c>
      <c r="D29" s="4" t="s">
        <v>50</v>
      </c>
      <c r="E29" s="4" t="s">
        <v>51</v>
      </c>
      <c r="F29" s="4" t="s">
        <v>55</v>
      </c>
      <c r="G29" s="4" t="s">
        <v>57</v>
      </c>
      <c r="H29" s="7"/>
      <c r="I29" s="7"/>
      <c r="J29" s="7" t="s">
        <v>54</v>
      </c>
    </row>
    <row r="30" spans="1:10">
      <c r="A30" s="4">
        <v>29</v>
      </c>
      <c r="B30" s="5">
        <v>46191</v>
      </c>
      <c r="C30" s="6">
        <v>0.91666666666666663</v>
      </c>
      <c r="D30" s="4" t="s">
        <v>62</v>
      </c>
      <c r="E30" s="4" t="s">
        <v>67</v>
      </c>
      <c r="F30" s="4" t="s">
        <v>64</v>
      </c>
      <c r="G30" s="4" t="s">
        <v>71</v>
      </c>
      <c r="H30" s="7"/>
      <c r="I30" s="7"/>
      <c r="J30" s="7" t="s">
        <v>54</v>
      </c>
    </row>
    <row r="31" spans="1:10">
      <c r="A31" s="4">
        <v>30</v>
      </c>
      <c r="B31" s="5">
        <v>46192</v>
      </c>
      <c r="C31" s="6">
        <v>0.54166666666666663</v>
      </c>
      <c r="D31" s="4" t="s">
        <v>62</v>
      </c>
      <c r="E31" s="4" t="s">
        <v>63</v>
      </c>
      <c r="F31" s="4" t="s">
        <v>66</v>
      </c>
      <c r="G31" s="4" t="s">
        <v>100</v>
      </c>
      <c r="H31" s="7"/>
      <c r="I31" s="7"/>
      <c r="J31" s="7" t="s">
        <v>54</v>
      </c>
    </row>
    <row r="32" spans="1:10">
      <c r="A32" s="4">
        <v>31</v>
      </c>
      <c r="B32" s="5">
        <v>46192</v>
      </c>
      <c r="C32" s="6">
        <v>0.66666666666666663</v>
      </c>
      <c r="D32" s="4" t="s">
        <v>72</v>
      </c>
      <c r="E32" s="4" t="s">
        <v>77</v>
      </c>
      <c r="F32" s="4" t="s">
        <v>74</v>
      </c>
      <c r="G32" s="4" t="s">
        <v>78</v>
      </c>
      <c r="H32" s="7"/>
      <c r="I32" s="7"/>
      <c r="J32" s="7" t="s">
        <v>54</v>
      </c>
    </row>
    <row r="33" spans="1:10">
      <c r="A33" s="4">
        <v>32</v>
      </c>
      <c r="B33" s="5">
        <v>46192</v>
      </c>
      <c r="C33" s="6">
        <v>0.79166666666666663</v>
      </c>
      <c r="D33" s="4" t="s">
        <v>72</v>
      </c>
      <c r="E33" s="4" t="s">
        <v>73</v>
      </c>
      <c r="F33" s="4" t="s">
        <v>76</v>
      </c>
      <c r="G33" s="4" t="s">
        <v>89</v>
      </c>
      <c r="H33" s="7"/>
      <c r="I33" s="7"/>
      <c r="J33" s="7" t="s">
        <v>54</v>
      </c>
    </row>
    <row r="34" spans="1:10">
      <c r="A34" s="4">
        <v>33</v>
      </c>
      <c r="B34" s="5">
        <v>46192</v>
      </c>
      <c r="C34" s="6">
        <v>0.91666666666666663</v>
      </c>
      <c r="D34" s="4" t="s">
        <v>83</v>
      </c>
      <c r="E34" s="4" t="s">
        <v>91</v>
      </c>
      <c r="F34" s="4" t="s">
        <v>85</v>
      </c>
      <c r="G34" s="4" t="s">
        <v>92</v>
      </c>
      <c r="H34" s="7"/>
      <c r="I34" s="7"/>
      <c r="J34" s="7" t="s">
        <v>54</v>
      </c>
    </row>
    <row r="35" spans="1:10">
      <c r="A35" s="4">
        <v>34</v>
      </c>
      <c r="B35" s="5">
        <v>46193</v>
      </c>
      <c r="C35" s="6">
        <v>0.45833333333333331</v>
      </c>
      <c r="D35" s="4" t="s">
        <v>83</v>
      </c>
      <c r="E35" s="4" t="s">
        <v>84</v>
      </c>
      <c r="F35" s="4" t="s">
        <v>90</v>
      </c>
      <c r="G35" s="4" t="s">
        <v>82</v>
      </c>
      <c r="H35" s="7"/>
      <c r="I35" s="7"/>
      <c r="J35" s="7" t="s">
        <v>54</v>
      </c>
    </row>
    <row r="36" spans="1:10">
      <c r="A36" s="4">
        <v>35</v>
      </c>
      <c r="B36" s="5">
        <v>46193</v>
      </c>
      <c r="C36" s="6">
        <v>0.58333333333333337</v>
      </c>
      <c r="D36" s="4" t="s">
        <v>79</v>
      </c>
      <c r="E36" s="4" t="s">
        <v>80</v>
      </c>
      <c r="F36" s="4" t="s">
        <v>87</v>
      </c>
      <c r="G36" s="4" t="s">
        <v>61</v>
      </c>
      <c r="H36" s="7"/>
      <c r="I36" s="7"/>
      <c r="J36" s="7" t="s">
        <v>54</v>
      </c>
    </row>
    <row r="37" spans="1:10">
      <c r="A37" s="4">
        <v>36</v>
      </c>
      <c r="B37" s="5">
        <v>46193</v>
      </c>
      <c r="C37" s="6">
        <v>0.75</v>
      </c>
      <c r="D37" s="4" t="s">
        <v>79</v>
      </c>
      <c r="E37" s="4" t="s">
        <v>88</v>
      </c>
      <c r="F37" s="4" t="s">
        <v>81</v>
      </c>
      <c r="G37" s="4" t="s">
        <v>114</v>
      </c>
      <c r="H37" s="7"/>
      <c r="I37" s="7"/>
      <c r="J37" s="7" t="s">
        <v>54</v>
      </c>
    </row>
    <row r="38" spans="1:10">
      <c r="A38" s="4">
        <v>37</v>
      </c>
      <c r="B38" s="5">
        <v>46194</v>
      </c>
      <c r="C38" s="6">
        <v>0.41666666666666669</v>
      </c>
      <c r="D38" s="4" t="s">
        <v>93</v>
      </c>
      <c r="E38" s="4" t="s">
        <v>94</v>
      </c>
      <c r="F38" s="4" t="s">
        <v>101</v>
      </c>
      <c r="G38" s="4" t="s">
        <v>96</v>
      </c>
      <c r="H38" s="7"/>
      <c r="I38" s="7"/>
      <c r="J38" s="7" t="s">
        <v>54</v>
      </c>
    </row>
    <row r="39" spans="1:10">
      <c r="A39" s="4">
        <v>38</v>
      </c>
      <c r="B39" s="5">
        <v>46194</v>
      </c>
      <c r="C39" s="6">
        <v>0.54166666666666663</v>
      </c>
      <c r="D39" s="4" t="s">
        <v>97</v>
      </c>
      <c r="E39" s="4" t="s">
        <v>98</v>
      </c>
      <c r="F39" s="4" t="s">
        <v>104</v>
      </c>
      <c r="G39" s="4" t="s">
        <v>65</v>
      </c>
      <c r="H39" s="7"/>
      <c r="I39" s="7"/>
      <c r="J39" s="7" t="s">
        <v>54</v>
      </c>
    </row>
    <row r="40" spans="1:10">
      <c r="A40" s="4">
        <v>39</v>
      </c>
      <c r="B40" s="5">
        <v>46194</v>
      </c>
      <c r="C40" s="6">
        <v>0.66666666666666663</v>
      </c>
      <c r="D40" s="4" t="s">
        <v>93</v>
      </c>
      <c r="E40" s="4" t="s">
        <v>102</v>
      </c>
      <c r="F40" s="4" t="s">
        <v>95</v>
      </c>
      <c r="G40" s="4" t="s">
        <v>103</v>
      </c>
      <c r="H40" s="7"/>
      <c r="I40" s="7"/>
      <c r="J40" s="7" t="s">
        <v>54</v>
      </c>
    </row>
    <row r="41" spans="1:10">
      <c r="A41" s="4">
        <v>40</v>
      </c>
      <c r="B41" s="5">
        <v>46194</v>
      </c>
      <c r="C41" s="6">
        <v>0.79166666666666663</v>
      </c>
      <c r="D41" s="4" t="s">
        <v>97</v>
      </c>
      <c r="E41" s="4" t="s">
        <v>105</v>
      </c>
      <c r="F41" s="4" t="s">
        <v>99</v>
      </c>
      <c r="G41" s="4" t="s">
        <v>68</v>
      </c>
      <c r="H41" s="7"/>
      <c r="I41" s="7"/>
      <c r="J41" s="7" t="s">
        <v>54</v>
      </c>
    </row>
    <row r="42" spans="1:10">
      <c r="A42" s="4">
        <v>41</v>
      </c>
      <c r="B42" s="5">
        <v>46195</v>
      </c>
      <c r="C42" s="6">
        <v>0.45833333333333331</v>
      </c>
      <c r="D42" s="4" t="s">
        <v>111</v>
      </c>
      <c r="E42" s="4" t="s">
        <v>112</v>
      </c>
      <c r="F42" s="4" t="s">
        <v>115</v>
      </c>
      <c r="G42" s="4" t="s">
        <v>86</v>
      </c>
      <c r="H42" s="7"/>
      <c r="I42" s="7"/>
      <c r="J42" s="7" t="s">
        <v>54</v>
      </c>
    </row>
    <row r="43" spans="1:10">
      <c r="A43" s="4">
        <v>42</v>
      </c>
      <c r="B43" s="5">
        <v>46195</v>
      </c>
      <c r="C43" s="6">
        <v>0.625</v>
      </c>
      <c r="D43" s="4" t="s">
        <v>106</v>
      </c>
      <c r="E43" s="4" t="s">
        <v>107</v>
      </c>
      <c r="F43" s="4" t="s">
        <v>109</v>
      </c>
      <c r="G43" s="4" t="s">
        <v>89</v>
      </c>
      <c r="H43" s="7"/>
      <c r="I43" s="7"/>
      <c r="J43" s="7" t="s">
        <v>54</v>
      </c>
    </row>
    <row r="44" spans="1:10">
      <c r="A44" s="4">
        <v>43</v>
      </c>
      <c r="B44" s="5">
        <v>46195</v>
      </c>
      <c r="C44" s="6">
        <v>0.75</v>
      </c>
      <c r="D44" s="4" t="s">
        <v>106</v>
      </c>
      <c r="E44" s="4" t="s">
        <v>110</v>
      </c>
      <c r="F44" s="4" t="s">
        <v>108</v>
      </c>
      <c r="G44" s="4" t="s">
        <v>75</v>
      </c>
      <c r="H44" s="7"/>
      <c r="I44" s="7"/>
      <c r="J44" s="7" t="s">
        <v>54</v>
      </c>
    </row>
    <row r="45" spans="1:10">
      <c r="A45" s="4">
        <v>44</v>
      </c>
      <c r="B45" s="5">
        <v>46195</v>
      </c>
      <c r="C45" s="6">
        <v>0.875</v>
      </c>
      <c r="D45" s="4" t="s">
        <v>111</v>
      </c>
      <c r="E45" s="4" t="s">
        <v>116</v>
      </c>
      <c r="F45" s="4" t="s">
        <v>113</v>
      </c>
      <c r="G45" s="4" t="s">
        <v>71</v>
      </c>
      <c r="H45" s="7"/>
      <c r="I45" s="7"/>
      <c r="J45" s="7" t="s">
        <v>54</v>
      </c>
    </row>
    <row r="46" spans="1:10">
      <c r="A46" s="4">
        <v>45</v>
      </c>
      <c r="B46" s="5">
        <v>46196</v>
      </c>
      <c r="C46" s="6">
        <v>0.45833333333333331</v>
      </c>
      <c r="D46" s="4" t="s">
        <v>117</v>
      </c>
      <c r="E46" s="4" t="s">
        <v>118</v>
      </c>
      <c r="F46" s="4" t="s">
        <v>125</v>
      </c>
      <c r="G46" s="4" t="s">
        <v>82</v>
      </c>
      <c r="H46" s="7"/>
      <c r="I46" s="7"/>
      <c r="J46" s="7" t="s">
        <v>54</v>
      </c>
    </row>
    <row r="47" spans="1:10">
      <c r="A47" s="4">
        <v>46</v>
      </c>
      <c r="B47" s="5">
        <v>46196</v>
      </c>
      <c r="C47" s="6">
        <v>0.58333333333333337</v>
      </c>
      <c r="D47" s="4" t="s">
        <v>120</v>
      </c>
      <c r="E47" s="4" t="s">
        <v>121</v>
      </c>
      <c r="F47" s="4" t="s">
        <v>123</v>
      </c>
      <c r="G47" s="4" t="s">
        <v>78</v>
      </c>
      <c r="H47" s="7"/>
      <c r="I47" s="7"/>
      <c r="J47" s="7" t="s">
        <v>54</v>
      </c>
    </row>
    <row r="48" spans="1:10">
      <c r="A48" s="4">
        <v>47</v>
      </c>
      <c r="B48" s="5">
        <v>46196</v>
      </c>
      <c r="C48" s="6">
        <v>0.70833333333333337</v>
      </c>
      <c r="D48" s="4" t="s">
        <v>120</v>
      </c>
      <c r="E48" s="4" t="s">
        <v>124</v>
      </c>
      <c r="F48" s="4" t="s">
        <v>122</v>
      </c>
      <c r="G48" s="4" t="s">
        <v>61</v>
      </c>
      <c r="H48" s="7"/>
      <c r="I48" s="7"/>
      <c r="J48" s="7" t="s">
        <v>54</v>
      </c>
    </row>
    <row r="49" spans="1:10">
      <c r="A49" s="4">
        <v>48</v>
      </c>
      <c r="B49" s="5">
        <v>46196</v>
      </c>
      <c r="C49" s="6">
        <v>0.83333333333333337</v>
      </c>
      <c r="D49" s="4" t="s">
        <v>117</v>
      </c>
      <c r="E49" s="4" t="s">
        <v>126</v>
      </c>
      <c r="F49" s="4" t="s">
        <v>119</v>
      </c>
      <c r="G49" s="4" t="s">
        <v>57</v>
      </c>
      <c r="H49" s="7"/>
      <c r="I49" s="7"/>
      <c r="J49" s="7" t="s">
        <v>54</v>
      </c>
    </row>
    <row r="50" spans="1:10">
      <c r="A50" s="4">
        <v>49</v>
      </c>
      <c r="B50" s="5">
        <v>46197</v>
      </c>
      <c r="C50" s="6">
        <v>0.54166666666666663</v>
      </c>
      <c r="D50" s="4" t="s">
        <v>58</v>
      </c>
      <c r="E50" s="4" t="s">
        <v>70</v>
      </c>
      <c r="F50" s="4" t="s">
        <v>59</v>
      </c>
      <c r="G50" s="4" t="s">
        <v>68</v>
      </c>
      <c r="H50" s="7"/>
      <c r="I50" s="7"/>
      <c r="J50" s="7" t="s">
        <v>54</v>
      </c>
    </row>
    <row r="51" spans="1:10">
      <c r="A51" s="4">
        <v>50</v>
      </c>
      <c r="B51" s="5">
        <v>46197</v>
      </c>
      <c r="C51" s="6">
        <v>0.54166666666666663</v>
      </c>
      <c r="D51" s="4" t="s">
        <v>58</v>
      </c>
      <c r="E51" s="4" t="s">
        <v>60</v>
      </c>
      <c r="F51" s="4" t="s">
        <v>69</v>
      </c>
      <c r="G51" s="4" t="s">
        <v>100</v>
      </c>
      <c r="H51" s="7"/>
      <c r="I51" s="7"/>
      <c r="J51" s="7" t="s">
        <v>54</v>
      </c>
    </row>
    <row r="52" spans="1:10">
      <c r="A52" s="4">
        <v>51</v>
      </c>
      <c r="B52" s="5">
        <v>46197</v>
      </c>
      <c r="C52" s="6">
        <v>0.66666666666666663</v>
      </c>
      <c r="D52" s="4" t="s">
        <v>72</v>
      </c>
      <c r="E52" s="4" t="s">
        <v>77</v>
      </c>
      <c r="F52" s="4" t="s">
        <v>73</v>
      </c>
      <c r="G52" s="4" t="s">
        <v>103</v>
      </c>
      <c r="H52" s="7"/>
      <c r="I52" s="7"/>
      <c r="J52" s="7" t="s">
        <v>54</v>
      </c>
    </row>
    <row r="53" spans="1:10">
      <c r="A53" s="4">
        <v>52</v>
      </c>
      <c r="B53" s="5">
        <v>46197</v>
      </c>
      <c r="C53" s="6">
        <v>0.66666666666666663</v>
      </c>
      <c r="D53" s="4" t="s">
        <v>72</v>
      </c>
      <c r="E53" s="4" t="s">
        <v>74</v>
      </c>
      <c r="F53" s="4" t="s">
        <v>76</v>
      </c>
      <c r="G53" s="4" t="s">
        <v>96</v>
      </c>
      <c r="H53" s="7"/>
      <c r="I53" s="7"/>
      <c r="J53" s="7" t="s">
        <v>54</v>
      </c>
    </row>
    <row r="54" spans="1:10">
      <c r="A54" s="4">
        <v>53</v>
      </c>
      <c r="B54" s="5">
        <v>46197</v>
      </c>
      <c r="C54" s="6">
        <v>0.79166666666666663</v>
      </c>
      <c r="D54" s="4" t="s">
        <v>50</v>
      </c>
      <c r="E54" s="4" t="s">
        <v>56</v>
      </c>
      <c r="F54" s="4" t="s">
        <v>51</v>
      </c>
      <c r="G54" s="4" t="s">
        <v>53</v>
      </c>
      <c r="H54" s="7"/>
      <c r="I54" s="7"/>
      <c r="J54" s="7" t="s">
        <v>54</v>
      </c>
    </row>
    <row r="55" spans="1:10">
      <c r="A55" s="4">
        <v>54</v>
      </c>
      <c r="B55" s="5">
        <v>46197</v>
      </c>
      <c r="C55" s="6">
        <v>0.79166666666666663</v>
      </c>
      <c r="D55" s="4" t="s">
        <v>50</v>
      </c>
      <c r="E55" s="4" t="s">
        <v>52</v>
      </c>
      <c r="F55" s="4" t="s">
        <v>55</v>
      </c>
      <c r="G55" s="4" t="s">
        <v>92</v>
      </c>
      <c r="H55" s="7"/>
      <c r="I55" s="7"/>
      <c r="J55" s="7" t="s">
        <v>54</v>
      </c>
    </row>
    <row r="56" spans="1:10">
      <c r="A56" s="4">
        <v>55</v>
      </c>
      <c r="B56" s="5">
        <v>46198</v>
      </c>
      <c r="C56" s="6">
        <v>0.58333333333333337</v>
      </c>
      <c r="D56" s="4" t="s">
        <v>79</v>
      </c>
      <c r="E56" s="4" t="s">
        <v>81</v>
      </c>
      <c r="F56" s="4" t="s">
        <v>87</v>
      </c>
      <c r="G56" s="4" t="s">
        <v>89</v>
      </c>
      <c r="H56" s="7"/>
      <c r="I56" s="7"/>
      <c r="J56" s="7" t="s">
        <v>54</v>
      </c>
    </row>
    <row r="57" spans="1:10">
      <c r="A57" s="4">
        <v>56</v>
      </c>
      <c r="B57" s="5">
        <v>46198</v>
      </c>
      <c r="C57" s="6">
        <v>0.58333333333333337</v>
      </c>
      <c r="D57" s="4" t="s">
        <v>79</v>
      </c>
      <c r="E57" s="4" t="s">
        <v>88</v>
      </c>
      <c r="F57" s="4" t="s">
        <v>80</v>
      </c>
      <c r="G57" s="4" t="s">
        <v>75</v>
      </c>
      <c r="H57" s="7"/>
      <c r="I57" s="7"/>
      <c r="J57" s="7" t="s">
        <v>54</v>
      </c>
    </row>
    <row r="58" spans="1:10">
      <c r="A58" s="4">
        <v>57</v>
      </c>
      <c r="B58" s="5">
        <v>46198</v>
      </c>
      <c r="C58" s="6">
        <v>0.70833333333333337</v>
      </c>
      <c r="D58" s="4" t="s">
        <v>83</v>
      </c>
      <c r="E58" s="4" t="s">
        <v>85</v>
      </c>
      <c r="F58" s="4" t="s">
        <v>90</v>
      </c>
      <c r="G58" s="4" t="s">
        <v>86</v>
      </c>
      <c r="H58" s="7"/>
      <c r="I58" s="7"/>
      <c r="J58" s="7" t="s">
        <v>54</v>
      </c>
    </row>
    <row r="59" spans="1:10">
      <c r="A59" s="4">
        <v>58</v>
      </c>
      <c r="B59" s="5">
        <v>46198</v>
      </c>
      <c r="C59" s="6">
        <v>0.70833333333333337</v>
      </c>
      <c r="D59" s="4" t="s">
        <v>83</v>
      </c>
      <c r="E59" s="4" t="s">
        <v>91</v>
      </c>
      <c r="F59" s="4" t="s">
        <v>84</v>
      </c>
      <c r="G59" s="4" t="s">
        <v>114</v>
      </c>
      <c r="H59" s="7"/>
      <c r="I59" s="7"/>
      <c r="J59" s="7" t="s">
        <v>54</v>
      </c>
    </row>
    <row r="60" spans="1:10">
      <c r="A60" s="4">
        <v>59</v>
      </c>
      <c r="B60" s="5">
        <v>46198</v>
      </c>
      <c r="C60" s="6">
        <v>0.83333333333333337</v>
      </c>
      <c r="D60" s="4" t="s">
        <v>62</v>
      </c>
      <c r="E60" s="4" t="s">
        <v>67</v>
      </c>
      <c r="F60" s="4" t="s">
        <v>63</v>
      </c>
      <c r="G60" s="4" t="s">
        <v>65</v>
      </c>
      <c r="H60" s="7"/>
      <c r="I60" s="7"/>
      <c r="J60" s="7" t="s">
        <v>54</v>
      </c>
    </row>
    <row r="61" spans="1:10">
      <c r="A61" s="4">
        <v>60</v>
      </c>
      <c r="B61" s="5">
        <v>46198</v>
      </c>
      <c r="C61" s="6">
        <v>0.83333333333333337</v>
      </c>
      <c r="D61" s="4" t="s">
        <v>62</v>
      </c>
      <c r="E61" s="4" t="s">
        <v>64</v>
      </c>
      <c r="F61" s="4" t="s">
        <v>66</v>
      </c>
      <c r="G61" s="4" t="s">
        <v>71</v>
      </c>
      <c r="H61" s="7"/>
      <c r="I61" s="7"/>
      <c r="J61" s="7" t="s">
        <v>54</v>
      </c>
    </row>
    <row r="62" spans="1:10">
      <c r="A62" s="4">
        <v>61</v>
      </c>
      <c r="B62" s="5">
        <v>46199</v>
      </c>
      <c r="C62" s="6">
        <v>0.54166666666666663</v>
      </c>
      <c r="D62" s="4" t="s">
        <v>106</v>
      </c>
      <c r="E62" s="4" t="s">
        <v>110</v>
      </c>
      <c r="F62" s="4" t="s">
        <v>107</v>
      </c>
      <c r="G62" s="4" t="s">
        <v>78</v>
      </c>
      <c r="H62" s="7"/>
      <c r="I62" s="7"/>
      <c r="J62" s="7" t="s">
        <v>54</v>
      </c>
    </row>
    <row r="63" spans="1:10">
      <c r="A63" s="4">
        <v>62</v>
      </c>
      <c r="B63" s="5">
        <v>46199</v>
      </c>
      <c r="C63" s="6">
        <v>0.54166666666666663</v>
      </c>
      <c r="D63" s="4" t="s">
        <v>106</v>
      </c>
      <c r="E63" s="4" t="s">
        <v>108</v>
      </c>
      <c r="F63" s="4" t="s">
        <v>109</v>
      </c>
      <c r="G63" s="4" t="s">
        <v>61</v>
      </c>
      <c r="H63" s="7"/>
      <c r="I63" s="7"/>
      <c r="J63" s="7" t="s">
        <v>54</v>
      </c>
    </row>
    <row r="64" spans="1:10">
      <c r="A64" s="4">
        <v>63</v>
      </c>
      <c r="B64" s="5">
        <v>46199</v>
      </c>
      <c r="C64" s="6">
        <v>0.75</v>
      </c>
      <c r="D64" s="4" t="s">
        <v>93</v>
      </c>
      <c r="E64" s="4" t="s">
        <v>95</v>
      </c>
      <c r="F64" s="4" t="s">
        <v>101</v>
      </c>
      <c r="G64" s="4" t="s">
        <v>82</v>
      </c>
      <c r="H64" s="7"/>
      <c r="I64" s="7"/>
      <c r="J64" s="7" t="s">
        <v>54</v>
      </c>
    </row>
    <row r="65" spans="1:10">
      <c r="A65" s="4">
        <v>64</v>
      </c>
      <c r="B65" s="5">
        <v>46199</v>
      </c>
      <c r="C65" s="6">
        <v>0.75</v>
      </c>
      <c r="D65" s="4" t="s">
        <v>93</v>
      </c>
      <c r="E65" s="4" t="s">
        <v>102</v>
      </c>
      <c r="F65" s="4" t="s">
        <v>94</v>
      </c>
      <c r="G65" s="4" t="s">
        <v>57</v>
      </c>
      <c r="H65" s="7"/>
      <c r="I65" s="7"/>
      <c r="J65" s="7" t="s">
        <v>54</v>
      </c>
    </row>
    <row r="66" spans="1:10">
      <c r="A66" s="4">
        <v>65</v>
      </c>
      <c r="B66" s="5">
        <v>46199</v>
      </c>
      <c r="C66" s="6">
        <v>0.875</v>
      </c>
      <c r="D66" s="4" t="s">
        <v>97</v>
      </c>
      <c r="E66" s="4" t="s">
        <v>99</v>
      </c>
      <c r="F66" s="4" t="s">
        <v>104</v>
      </c>
      <c r="G66" s="4" t="s">
        <v>100</v>
      </c>
      <c r="H66" s="7"/>
      <c r="I66" s="7"/>
      <c r="J66" s="7" t="s">
        <v>54</v>
      </c>
    </row>
    <row r="67" spans="1:10">
      <c r="A67" s="4">
        <v>66</v>
      </c>
      <c r="B67" s="5">
        <v>46199</v>
      </c>
      <c r="C67" s="6">
        <v>0.875</v>
      </c>
      <c r="D67" s="4" t="s">
        <v>97</v>
      </c>
      <c r="E67" s="4" t="s">
        <v>105</v>
      </c>
      <c r="F67" s="4" t="s">
        <v>98</v>
      </c>
      <c r="G67" s="4" t="s">
        <v>68</v>
      </c>
      <c r="H67" s="7"/>
      <c r="I67" s="7"/>
      <c r="J67" s="7" t="s">
        <v>54</v>
      </c>
    </row>
    <row r="68" spans="1:10">
      <c r="A68" s="4">
        <v>67</v>
      </c>
      <c r="B68" s="5">
        <v>46200</v>
      </c>
      <c r="C68" s="6">
        <v>0.625</v>
      </c>
      <c r="D68" s="4" t="s">
        <v>120</v>
      </c>
      <c r="E68" s="4" t="s">
        <v>124</v>
      </c>
      <c r="F68" s="4" t="s">
        <v>121</v>
      </c>
      <c r="G68" s="4" t="s">
        <v>75</v>
      </c>
      <c r="H68" s="7"/>
      <c r="I68" s="7"/>
      <c r="J68" s="7" t="s">
        <v>54</v>
      </c>
    </row>
    <row r="69" spans="1:10">
      <c r="A69" s="4">
        <v>68</v>
      </c>
      <c r="B69" s="5">
        <v>46200</v>
      </c>
      <c r="C69" s="6">
        <v>0.625</v>
      </c>
      <c r="D69" s="4" t="s">
        <v>120</v>
      </c>
      <c r="E69" s="4" t="s">
        <v>122</v>
      </c>
      <c r="F69" s="4" t="s">
        <v>123</v>
      </c>
      <c r="G69" s="4" t="s">
        <v>89</v>
      </c>
      <c r="H69" s="7"/>
      <c r="I69" s="7"/>
      <c r="J69" s="7" t="s">
        <v>54</v>
      </c>
    </row>
    <row r="70" spans="1:10">
      <c r="A70" s="4">
        <v>69</v>
      </c>
      <c r="B70" s="5">
        <v>46200</v>
      </c>
      <c r="C70" s="6">
        <v>0.72916666666666663</v>
      </c>
      <c r="D70" s="4" t="s">
        <v>117</v>
      </c>
      <c r="E70" s="4" t="s">
        <v>126</v>
      </c>
      <c r="F70" s="4" t="s">
        <v>118</v>
      </c>
      <c r="G70" s="4" t="s">
        <v>103</v>
      </c>
      <c r="H70" s="7"/>
      <c r="I70" s="7"/>
      <c r="J70" s="7" t="s">
        <v>54</v>
      </c>
    </row>
    <row r="71" spans="1:10">
      <c r="A71" s="4">
        <v>70</v>
      </c>
      <c r="B71" s="5">
        <v>46200</v>
      </c>
      <c r="C71" s="6">
        <v>0.72916666666666663</v>
      </c>
      <c r="D71" s="4" t="s">
        <v>117</v>
      </c>
      <c r="E71" s="4" t="s">
        <v>119</v>
      </c>
      <c r="F71" s="4" t="s">
        <v>125</v>
      </c>
      <c r="G71" s="4" t="s">
        <v>96</v>
      </c>
      <c r="H71" s="7"/>
      <c r="I71" s="7"/>
      <c r="J71" s="7" t="s">
        <v>54</v>
      </c>
    </row>
    <row r="72" spans="1:10">
      <c r="A72" s="4">
        <v>71</v>
      </c>
      <c r="B72" s="5">
        <v>46200</v>
      </c>
      <c r="C72" s="6">
        <v>0.83333333333333337</v>
      </c>
      <c r="D72" s="4" t="s">
        <v>111</v>
      </c>
      <c r="E72" s="4" t="s">
        <v>113</v>
      </c>
      <c r="F72" s="4" t="s">
        <v>115</v>
      </c>
      <c r="G72" s="4" t="s">
        <v>114</v>
      </c>
      <c r="H72" s="7"/>
      <c r="I72" s="7"/>
      <c r="J72" s="7" t="s">
        <v>54</v>
      </c>
    </row>
    <row r="73" spans="1:10">
      <c r="A73" s="4">
        <v>72</v>
      </c>
      <c r="B73" s="5">
        <v>46200</v>
      </c>
      <c r="C73" s="6">
        <v>0.83333333333333337</v>
      </c>
      <c r="D73" s="4" t="s">
        <v>111</v>
      </c>
      <c r="E73" s="4" t="s">
        <v>116</v>
      </c>
      <c r="F73" s="4" t="s">
        <v>112</v>
      </c>
      <c r="G73" s="4" t="s">
        <v>86</v>
      </c>
      <c r="H73" s="7"/>
      <c r="I73" s="7"/>
      <c r="J73" s="7" t="s">
        <v>54</v>
      </c>
    </row>
  </sheetData>
  <dataValidations count="1">
    <dataValidation type="list" sqref="J2:J73" xr:uid="{00000000-0002-0000-0200-000000000000}">
      <formula1>"Sí,No"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F609"/>
  <sheetViews>
    <sheetView showGridLines="0" workbookViewId="0">
      <pane ySplit="9" topLeftCell="A10" activePane="bottomLeft" state="frozen"/>
      <selection pane="bottomLeft" activeCell="J23" sqref="J23"/>
    </sheetView>
  </sheetViews>
  <sheetFormatPr defaultColWidth="8.85546875" defaultRowHeight="14.45"/>
  <cols>
    <col min="2" max="2" width="40.85546875" customWidth="1"/>
    <col min="3" max="6" width="15.28515625" customWidth="1"/>
  </cols>
  <sheetData>
    <row r="7" spans="2:6">
      <c r="B7" s="23" t="s">
        <v>127</v>
      </c>
    </row>
    <row r="9" spans="2:6">
      <c r="B9" s="28" t="s">
        <v>128</v>
      </c>
      <c r="C9" s="28" t="s">
        <v>40</v>
      </c>
      <c r="D9" s="28" t="s">
        <v>129</v>
      </c>
      <c r="E9" s="28" t="s">
        <v>130</v>
      </c>
      <c r="F9" s="28" t="s">
        <v>131</v>
      </c>
    </row>
    <row r="10" spans="2:6">
      <c r="F10" t="str">
        <f>IF($C10="","",IF(NOT(_xlfn.XLOOKUP($C10,tPartidos[MatchID],tPartidos[Jugado],"No")="Sí"),0,IF(AND($D10=_xlfn.XLOOKUP($C10,tPartidos[MatchID],tPartidos[GL_Real],""),$E10=_xlfn.XLOOKUP($C10,tPartidos[MatchID],tPartidos[GV_Real],"")),CONFIG!$C$5,IF(SIGN($D10-$E10)=SIGN(_xlfn.XLOOKUP($C10,tPartidos[MatchID],tPartidos[GL_Real],0)-_xlfn.XLOOKUP($C10,tPartidos[MatchID],tPartidos[GV_Real],0)),CONFIG!$C$6,0))))</f>
        <v/>
      </c>
    </row>
    <row r="11" spans="2:6">
      <c r="F11" t="str">
        <f>IF($C11="","",IF(NOT(_xlfn.XLOOKUP($C11,tPartidos[MatchID],tPartidos[Jugado],"No")="Sí"),0,IF(AND($D11=_xlfn.XLOOKUP($C11,tPartidos[MatchID],tPartidos[GL_Real],""),$E11=_xlfn.XLOOKUP($C11,tPartidos[MatchID],tPartidos[GV_Real],"")),CONFIG!$C$5,IF(SIGN($D11-$E11)=SIGN(_xlfn.XLOOKUP($C11,tPartidos[MatchID],tPartidos[GL_Real],0)-_xlfn.XLOOKUP($C11,tPartidos[MatchID],tPartidos[GV_Real],0)),CONFIG!$C$6,0))))</f>
        <v/>
      </c>
    </row>
    <row r="12" spans="2:6">
      <c r="F12" t="str">
        <f>IF($C12="","",IF(NOT(_xlfn.XLOOKUP($C12,tPartidos[MatchID],tPartidos[Jugado],"No")="Sí"),0,IF(AND($D12=_xlfn.XLOOKUP($C12,tPartidos[MatchID],tPartidos[GL_Real],""),$E12=_xlfn.XLOOKUP($C12,tPartidos[MatchID],tPartidos[GV_Real],"")),CONFIG!$C$5,IF(SIGN($D12-$E12)=SIGN(_xlfn.XLOOKUP($C12,tPartidos[MatchID],tPartidos[GL_Real],0)-_xlfn.XLOOKUP($C12,tPartidos[MatchID],tPartidos[GV_Real],0)),CONFIG!$C$6,0))))</f>
        <v/>
      </c>
    </row>
    <row r="13" spans="2:6">
      <c r="F13" t="str">
        <f>IF($C13="","",IF(NOT(_xlfn.XLOOKUP($C13,tPartidos[MatchID],tPartidos[Jugado],"No")="Sí"),0,IF(AND($D13=_xlfn.XLOOKUP($C13,tPartidos[MatchID],tPartidos[GL_Real],""),$E13=_xlfn.XLOOKUP($C13,tPartidos[MatchID],tPartidos[GV_Real],"")),CONFIG!$C$5,IF(SIGN($D13-$E13)=SIGN(_xlfn.XLOOKUP($C13,tPartidos[MatchID],tPartidos[GL_Real],0)-_xlfn.XLOOKUP($C13,tPartidos[MatchID],tPartidos[GV_Real],0)),CONFIG!$C$6,0))))</f>
        <v/>
      </c>
    </row>
    <row r="14" spans="2:6">
      <c r="F14" t="str">
        <f>IF($C14="","",IF(NOT(_xlfn.XLOOKUP($C14,tPartidos[MatchID],tPartidos[Jugado],"No")="Sí"),0,IF(AND($D14=_xlfn.XLOOKUP($C14,tPartidos[MatchID],tPartidos[GL_Real],""),$E14=_xlfn.XLOOKUP($C14,tPartidos[MatchID],tPartidos[GV_Real],"")),CONFIG!$C$5,IF(SIGN($D14-$E14)=SIGN(_xlfn.XLOOKUP($C14,tPartidos[MatchID],tPartidos[GL_Real],0)-_xlfn.XLOOKUP($C14,tPartidos[MatchID],tPartidos[GV_Real],0)),CONFIG!$C$6,0))))</f>
        <v/>
      </c>
    </row>
    <row r="15" spans="2:6">
      <c r="F15" t="str">
        <f>IF($C15="","",IF(NOT(_xlfn.XLOOKUP($C15,tPartidos[MatchID],tPartidos[Jugado],"No")="Sí"),0,IF(AND($D15=_xlfn.XLOOKUP($C15,tPartidos[MatchID],tPartidos[GL_Real],""),$E15=_xlfn.XLOOKUP($C15,tPartidos[MatchID],tPartidos[GV_Real],"")),CONFIG!$C$5,IF(SIGN($D15-$E15)=SIGN(_xlfn.XLOOKUP($C15,tPartidos[MatchID],tPartidos[GL_Real],0)-_xlfn.XLOOKUP($C15,tPartidos[MatchID],tPartidos[GV_Real],0)),CONFIG!$C$6,0))))</f>
        <v/>
      </c>
    </row>
    <row r="16" spans="2:6">
      <c r="F16" t="str">
        <f>IF($C16="","",IF(NOT(_xlfn.XLOOKUP($C16,tPartidos[MatchID],tPartidos[Jugado],"No")="Sí"),0,IF(AND($D16=_xlfn.XLOOKUP($C16,tPartidos[MatchID],tPartidos[GL_Real],""),$E16=_xlfn.XLOOKUP($C16,tPartidos[MatchID],tPartidos[GV_Real],"")),CONFIG!$C$5,IF(SIGN($D16-$E16)=SIGN(_xlfn.XLOOKUP($C16,tPartidos[MatchID],tPartidos[GL_Real],0)-_xlfn.XLOOKUP($C16,tPartidos[MatchID],tPartidos[GV_Real],0)),CONFIG!$C$6,0))))</f>
        <v/>
      </c>
    </row>
    <row r="17" spans="6:6">
      <c r="F17" t="str">
        <f>IF($C17="","",IF(NOT(_xlfn.XLOOKUP($C17,tPartidos[MatchID],tPartidos[Jugado],"No")="Sí"),0,IF(AND($D17=_xlfn.XLOOKUP($C17,tPartidos[MatchID],tPartidos[GL_Real],""),$E17=_xlfn.XLOOKUP($C17,tPartidos[MatchID],tPartidos[GV_Real],"")),CONFIG!$C$5,IF(SIGN($D17-$E17)=SIGN(_xlfn.XLOOKUP($C17,tPartidos[MatchID],tPartidos[GL_Real],0)-_xlfn.XLOOKUP($C17,tPartidos[MatchID],tPartidos[GV_Real],0)),CONFIG!$C$6,0))))</f>
        <v/>
      </c>
    </row>
    <row r="18" spans="6:6">
      <c r="F18" t="str">
        <f>IF($C18="","",IF(NOT(_xlfn.XLOOKUP($C18,tPartidos[MatchID],tPartidos[Jugado],"No")="Sí"),0,IF(AND($D18=_xlfn.XLOOKUP($C18,tPartidos[MatchID],tPartidos[GL_Real],""),$E18=_xlfn.XLOOKUP($C18,tPartidos[MatchID],tPartidos[GV_Real],"")),CONFIG!$C$5,IF(SIGN($D18-$E18)=SIGN(_xlfn.XLOOKUP($C18,tPartidos[MatchID],tPartidos[GL_Real],0)-_xlfn.XLOOKUP($C18,tPartidos[MatchID],tPartidos[GV_Real],0)),CONFIG!$C$6,0))))</f>
        <v/>
      </c>
    </row>
    <row r="19" spans="6:6">
      <c r="F19" t="str">
        <f>IF($C19="","",IF(NOT(_xlfn.XLOOKUP($C19,tPartidos[MatchID],tPartidos[Jugado],"No")="Sí"),0,IF(AND($D19=_xlfn.XLOOKUP($C19,tPartidos[MatchID],tPartidos[GL_Real],""),$E19=_xlfn.XLOOKUP($C19,tPartidos[MatchID],tPartidos[GV_Real],"")),CONFIG!$C$5,IF(SIGN($D19-$E19)=SIGN(_xlfn.XLOOKUP($C19,tPartidos[MatchID],tPartidos[GL_Real],0)-_xlfn.XLOOKUP($C19,tPartidos[MatchID],tPartidos[GV_Real],0)),CONFIG!$C$6,0))))</f>
        <v/>
      </c>
    </row>
    <row r="20" spans="6:6">
      <c r="F20" t="str">
        <f>IF($C20="","",IF(NOT(_xlfn.XLOOKUP($C20,tPartidos[MatchID],tPartidos[Jugado],"No")="Sí"),0,IF(AND($D20=_xlfn.XLOOKUP($C20,tPartidos[MatchID],tPartidos[GL_Real],""),$E20=_xlfn.XLOOKUP($C20,tPartidos[MatchID],tPartidos[GV_Real],"")),CONFIG!$C$5,IF(SIGN($D20-$E20)=SIGN(_xlfn.XLOOKUP($C20,tPartidos[MatchID],tPartidos[GL_Real],0)-_xlfn.XLOOKUP($C20,tPartidos[MatchID],tPartidos[GV_Real],0)),CONFIG!$C$6,0))))</f>
        <v/>
      </c>
    </row>
    <row r="21" spans="6:6">
      <c r="F21" t="str">
        <f>IF($C21="","",IF(NOT(_xlfn.XLOOKUP($C21,tPartidos[MatchID],tPartidos[Jugado],"No")="Sí"),0,IF(AND($D21=_xlfn.XLOOKUP($C21,tPartidos[MatchID],tPartidos[GL_Real],""),$E21=_xlfn.XLOOKUP($C21,tPartidos[MatchID],tPartidos[GV_Real],"")),CONFIG!$C$5,IF(SIGN($D21-$E21)=SIGN(_xlfn.XLOOKUP($C21,tPartidos[MatchID],tPartidos[GL_Real],0)-_xlfn.XLOOKUP($C21,tPartidos[MatchID],tPartidos[GV_Real],0)),CONFIG!$C$6,0))))</f>
        <v/>
      </c>
    </row>
    <row r="22" spans="6:6">
      <c r="F22" t="str">
        <f>IF($C22="","",IF(NOT(_xlfn.XLOOKUP($C22,tPartidos[MatchID],tPartidos[Jugado],"No")="Sí"),0,IF(AND($D22=_xlfn.XLOOKUP($C22,tPartidos[MatchID],tPartidos[GL_Real],""),$E22=_xlfn.XLOOKUP($C22,tPartidos[MatchID],tPartidos[GV_Real],"")),CONFIG!$C$5,IF(SIGN($D22-$E22)=SIGN(_xlfn.XLOOKUP($C22,tPartidos[MatchID],tPartidos[GL_Real],0)-_xlfn.XLOOKUP($C22,tPartidos[MatchID],tPartidos[GV_Real],0)),CONFIG!$C$6,0))))</f>
        <v/>
      </c>
    </row>
    <row r="23" spans="6:6">
      <c r="F23" t="str">
        <f>IF($C23="","",IF(NOT(_xlfn.XLOOKUP($C23,tPartidos[MatchID],tPartidos[Jugado],"No")="Sí"),0,IF(AND($D23=_xlfn.XLOOKUP($C23,tPartidos[MatchID],tPartidos[GL_Real],""),$E23=_xlfn.XLOOKUP($C23,tPartidos[MatchID],tPartidos[GV_Real],"")),CONFIG!$C$5,IF(SIGN($D23-$E23)=SIGN(_xlfn.XLOOKUP($C23,tPartidos[MatchID],tPartidos[GL_Real],0)-_xlfn.XLOOKUP($C23,tPartidos[MatchID],tPartidos[GV_Real],0)),CONFIG!$C$6,0))))</f>
        <v/>
      </c>
    </row>
    <row r="24" spans="6:6">
      <c r="F24" t="str">
        <f>IF($C24="","",IF(NOT(_xlfn.XLOOKUP($C24,tPartidos[MatchID],tPartidos[Jugado],"No")="Sí"),0,IF(AND($D24=_xlfn.XLOOKUP($C24,tPartidos[MatchID],tPartidos[GL_Real],""),$E24=_xlfn.XLOOKUP($C24,tPartidos[MatchID],tPartidos[GV_Real],"")),CONFIG!$C$5,IF(SIGN($D24-$E24)=SIGN(_xlfn.XLOOKUP($C24,tPartidos[MatchID],tPartidos[GL_Real],0)-_xlfn.XLOOKUP($C24,tPartidos[MatchID],tPartidos[GV_Real],0)),CONFIG!$C$6,0))))</f>
        <v/>
      </c>
    </row>
    <row r="25" spans="6:6">
      <c r="F25" t="str">
        <f>IF($C25="","",IF(NOT(_xlfn.XLOOKUP($C25,tPartidos[MatchID],tPartidos[Jugado],"No")="Sí"),0,IF(AND($D25=_xlfn.XLOOKUP($C25,tPartidos[MatchID],tPartidos[GL_Real],""),$E25=_xlfn.XLOOKUP($C25,tPartidos[MatchID],tPartidos[GV_Real],"")),CONFIG!$C$5,IF(SIGN($D25-$E25)=SIGN(_xlfn.XLOOKUP($C25,tPartidos[MatchID],tPartidos[GL_Real],0)-_xlfn.XLOOKUP($C25,tPartidos[MatchID],tPartidos[GV_Real],0)),CONFIG!$C$6,0))))</f>
        <v/>
      </c>
    </row>
    <row r="26" spans="6:6">
      <c r="F26" t="str">
        <f>IF($C26="","",IF(NOT(_xlfn.XLOOKUP($C26,tPartidos[MatchID],tPartidos[Jugado],"No")="Sí"),0,IF(AND($D26=_xlfn.XLOOKUP($C26,tPartidos[MatchID],tPartidos[GL_Real],""),$E26=_xlfn.XLOOKUP($C26,tPartidos[MatchID],tPartidos[GV_Real],"")),CONFIG!$C$5,IF(SIGN($D26-$E26)=SIGN(_xlfn.XLOOKUP($C26,tPartidos[MatchID],tPartidos[GL_Real],0)-_xlfn.XLOOKUP($C26,tPartidos[MatchID],tPartidos[GV_Real],0)),CONFIG!$C$6,0))))</f>
        <v/>
      </c>
    </row>
    <row r="27" spans="6:6">
      <c r="F27" t="str">
        <f>IF($C27="","",IF(NOT(_xlfn.XLOOKUP($C27,tPartidos[MatchID],tPartidos[Jugado],"No")="Sí"),0,IF(AND($D27=_xlfn.XLOOKUP($C27,tPartidos[MatchID],tPartidos[GL_Real],""),$E27=_xlfn.XLOOKUP($C27,tPartidos[MatchID],tPartidos[GV_Real],"")),CONFIG!$C$5,IF(SIGN($D27-$E27)=SIGN(_xlfn.XLOOKUP($C27,tPartidos[MatchID],tPartidos[GL_Real],0)-_xlfn.XLOOKUP($C27,tPartidos[MatchID],tPartidos[GV_Real],0)),CONFIG!$C$6,0))))</f>
        <v/>
      </c>
    </row>
    <row r="28" spans="6:6">
      <c r="F28" t="str">
        <f>IF($C28="","",IF(NOT(_xlfn.XLOOKUP($C28,tPartidos[MatchID],tPartidos[Jugado],"No")="Sí"),0,IF(AND($D28=_xlfn.XLOOKUP($C28,tPartidos[MatchID],tPartidos[GL_Real],""),$E28=_xlfn.XLOOKUP($C28,tPartidos[MatchID],tPartidos[GV_Real],"")),CONFIG!$C$5,IF(SIGN($D28-$E28)=SIGN(_xlfn.XLOOKUP($C28,tPartidos[MatchID],tPartidos[GL_Real],0)-_xlfn.XLOOKUP($C28,tPartidos[MatchID],tPartidos[GV_Real],0)),CONFIG!$C$6,0))))</f>
        <v/>
      </c>
    </row>
    <row r="29" spans="6:6">
      <c r="F29" t="str">
        <f>IF($C29="","",IF(NOT(_xlfn.XLOOKUP($C29,tPartidos[MatchID],tPartidos[Jugado],"No")="Sí"),0,IF(AND($D29=_xlfn.XLOOKUP($C29,tPartidos[MatchID],tPartidos[GL_Real],""),$E29=_xlfn.XLOOKUP($C29,tPartidos[MatchID],tPartidos[GV_Real],"")),CONFIG!$C$5,IF(SIGN($D29-$E29)=SIGN(_xlfn.XLOOKUP($C29,tPartidos[MatchID],tPartidos[GL_Real],0)-_xlfn.XLOOKUP($C29,tPartidos[MatchID],tPartidos[GV_Real],0)),CONFIG!$C$6,0))))</f>
        <v/>
      </c>
    </row>
    <row r="30" spans="6:6">
      <c r="F30" t="str">
        <f>IF($C30="","",IF(NOT(_xlfn.XLOOKUP($C30,tPartidos[MatchID],tPartidos[Jugado],"No")="Sí"),0,IF(AND($D30=_xlfn.XLOOKUP($C30,tPartidos[MatchID],tPartidos[GL_Real],""),$E30=_xlfn.XLOOKUP($C30,tPartidos[MatchID],tPartidos[GV_Real],"")),CONFIG!$C$5,IF(SIGN($D30-$E30)=SIGN(_xlfn.XLOOKUP($C30,tPartidos[MatchID],tPartidos[GL_Real],0)-_xlfn.XLOOKUP($C30,tPartidos[MatchID],tPartidos[GV_Real],0)),CONFIG!$C$6,0))))</f>
        <v/>
      </c>
    </row>
    <row r="31" spans="6:6">
      <c r="F31" t="str">
        <f>IF($C31="","",IF(NOT(_xlfn.XLOOKUP($C31,tPartidos[MatchID],tPartidos[Jugado],"No")="Sí"),0,IF(AND($D31=_xlfn.XLOOKUP($C31,tPartidos[MatchID],tPartidos[GL_Real],""),$E31=_xlfn.XLOOKUP($C31,tPartidos[MatchID],tPartidos[GV_Real],"")),CONFIG!$C$5,IF(SIGN($D31-$E31)=SIGN(_xlfn.XLOOKUP($C31,tPartidos[MatchID],tPartidos[GL_Real],0)-_xlfn.XLOOKUP($C31,tPartidos[MatchID],tPartidos[GV_Real],0)),CONFIG!$C$6,0))))</f>
        <v/>
      </c>
    </row>
    <row r="32" spans="6:6">
      <c r="F32" t="str">
        <f>IF($C32="","",IF(NOT(_xlfn.XLOOKUP($C32,tPartidos[MatchID],tPartidos[Jugado],"No")="Sí"),0,IF(AND($D32=_xlfn.XLOOKUP($C32,tPartidos[MatchID],tPartidos[GL_Real],""),$E32=_xlfn.XLOOKUP($C32,tPartidos[MatchID],tPartidos[GV_Real],"")),CONFIG!$C$5,IF(SIGN($D32-$E32)=SIGN(_xlfn.XLOOKUP($C32,tPartidos[MatchID],tPartidos[GL_Real],0)-_xlfn.XLOOKUP($C32,tPartidos[MatchID],tPartidos[GV_Real],0)),CONFIG!$C$6,0))))</f>
        <v/>
      </c>
    </row>
    <row r="33" spans="6:6">
      <c r="F33" t="str">
        <f>IF($C33="","",IF(NOT(_xlfn.XLOOKUP($C33,tPartidos[MatchID],tPartidos[Jugado],"No")="Sí"),0,IF(AND($D33=_xlfn.XLOOKUP($C33,tPartidos[MatchID],tPartidos[GL_Real],""),$E33=_xlfn.XLOOKUP($C33,tPartidos[MatchID],tPartidos[GV_Real],"")),CONFIG!$C$5,IF(SIGN($D33-$E33)=SIGN(_xlfn.XLOOKUP($C33,tPartidos[MatchID],tPartidos[GL_Real],0)-_xlfn.XLOOKUP($C33,tPartidos[MatchID],tPartidos[GV_Real],0)),CONFIG!$C$6,0))))</f>
        <v/>
      </c>
    </row>
    <row r="34" spans="6:6">
      <c r="F34" t="str">
        <f>IF($C34="","",IF(NOT(_xlfn.XLOOKUP($C34,tPartidos[MatchID],tPartidos[Jugado],"No")="Sí"),0,IF(AND($D34=_xlfn.XLOOKUP($C34,tPartidos[MatchID],tPartidos[GL_Real],""),$E34=_xlfn.XLOOKUP($C34,tPartidos[MatchID],tPartidos[GV_Real],"")),CONFIG!$C$5,IF(SIGN($D34-$E34)=SIGN(_xlfn.XLOOKUP($C34,tPartidos[MatchID],tPartidos[GL_Real],0)-_xlfn.XLOOKUP($C34,tPartidos[MatchID],tPartidos[GV_Real],0)),CONFIG!$C$6,0))))</f>
        <v/>
      </c>
    </row>
    <row r="35" spans="6:6">
      <c r="F35" t="str">
        <f>IF($C35="","",IF(NOT(_xlfn.XLOOKUP($C35,tPartidos[MatchID],tPartidos[Jugado],"No")="Sí"),0,IF(AND($D35=_xlfn.XLOOKUP($C35,tPartidos[MatchID],tPartidos[GL_Real],""),$E35=_xlfn.XLOOKUP($C35,tPartidos[MatchID],tPartidos[GV_Real],"")),CONFIG!$C$5,IF(SIGN($D35-$E35)=SIGN(_xlfn.XLOOKUP($C35,tPartidos[MatchID],tPartidos[GL_Real],0)-_xlfn.XLOOKUP($C35,tPartidos[MatchID],tPartidos[GV_Real],0)),CONFIG!$C$6,0))))</f>
        <v/>
      </c>
    </row>
    <row r="36" spans="6:6">
      <c r="F36" t="str">
        <f>IF($C36="","",IF(NOT(_xlfn.XLOOKUP($C36,tPartidos[MatchID],tPartidos[Jugado],"No")="Sí"),0,IF(AND($D36=_xlfn.XLOOKUP($C36,tPartidos[MatchID],tPartidos[GL_Real],""),$E36=_xlfn.XLOOKUP($C36,tPartidos[MatchID],tPartidos[GV_Real],"")),CONFIG!$C$5,IF(SIGN($D36-$E36)=SIGN(_xlfn.XLOOKUP($C36,tPartidos[MatchID],tPartidos[GL_Real],0)-_xlfn.XLOOKUP($C36,tPartidos[MatchID],tPartidos[GV_Real],0)),CONFIG!$C$6,0))))</f>
        <v/>
      </c>
    </row>
    <row r="37" spans="6:6">
      <c r="F37" t="str">
        <f>IF($C37="","",IF(NOT(_xlfn.XLOOKUP($C37,tPartidos[MatchID],tPartidos[Jugado],"No")="Sí"),0,IF(AND($D37=_xlfn.XLOOKUP($C37,tPartidos[MatchID],tPartidos[GL_Real],""),$E37=_xlfn.XLOOKUP($C37,tPartidos[MatchID],tPartidos[GV_Real],"")),CONFIG!$C$5,IF(SIGN($D37-$E37)=SIGN(_xlfn.XLOOKUP($C37,tPartidos[MatchID],tPartidos[GL_Real],0)-_xlfn.XLOOKUP($C37,tPartidos[MatchID],tPartidos[GV_Real],0)),CONFIG!$C$6,0))))</f>
        <v/>
      </c>
    </row>
    <row r="38" spans="6:6">
      <c r="F38" t="str">
        <f>IF($C38="","",IF(NOT(_xlfn.XLOOKUP($C38,tPartidos[MatchID],tPartidos[Jugado],"No")="Sí"),0,IF(AND($D38=_xlfn.XLOOKUP($C38,tPartidos[MatchID],tPartidos[GL_Real],""),$E38=_xlfn.XLOOKUP($C38,tPartidos[MatchID],tPartidos[GV_Real],"")),CONFIG!$C$5,IF(SIGN($D38-$E38)=SIGN(_xlfn.XLOOKUP($C38,tPartidos[MatchID],tPartidos[GL_Real],0)-_xlfn.XLOOKUP($C38,tPartidos[MatchID],tPartidos[GV_Real],0)),CONFIG!$C$6,0))))</f>
        <v/>
      </c>
    </row>
    <row r="39" spans="6:6">
      <c r="F39" t="str">
        <f>IF($C39="","",IF(NOT(_xlfn.XLOOKUP($C39,tPartidos[MatchID],tPartidos[Jugado],"No")="Sí"),0,IF(AND($D39=_xlfn.XLOOKUP($C39,tPartidos[MatchID],tPartidos[GL_Real],""),$E39=_xlfn.XLOOKUP($C39,tPartidos[MatchID],tPartidos[GV_Real],"")),CONFIG!$C$5,IF(SIGN($D39-$E39)=SIGN(_xlfn.XLOOKUP($C39,tPartidos[MatchID],tPartidos[GL_Real],0)-_xlfn.XLOOKUP($C39,tPartidos[MatchID],tPartidos[GV_Real],0)),CONFIG!$C$6,0))))</f>
        <v/>
      </c>
    </row>
    <row r="40" spans="6:6">
      <c r="F40" t="str">
        <f>IF($C40="","",IF(NOT(_xlfn.XLOOKUP($C40,tPartidos[MatchID],tPartidos[Jugado],"No")="Sí"),0,IF(AND($D40=_xlfn.XLOOKUP($C40,tPartidos[MatchID],tPartidos[GL_Real],""),$E40=_xlfn.XLOOKUP($C40,tPartidos[MatchID],tPartidos[GV_Real],"")),CONFIG!$C$5,IF(SIGN($D40-$E40)=SIGN(_xlfn.XLOOKUP($C40,tPartidos[MatchID],tPartidos[GL_Real],0)-_xlfn.XLOOKUP($C40,tPartidos[MatchID],tPartidos[GV_Real],0)),CONFIG!$C$6,0))))</f>
        <v/>
      </c>
    </row>
    <row r="41" spans="6:6">
      <c r="F41" t="str">
        <f>IF($C41="","",IF(NOT(_xlfn.XLOOKUP($C41,tPartidos[MatchID],tPartidos[Jugado],"No")="Sí"),0,IF(AND($D41=_xlfn.XLOOKUP($C41,tPartidos[MatchID],tPartidos[GL_Real],""),$E41=_xlfn.XLOOKUP($C41,tPartidos[MatchID],tPartidos[GV_Real],"")),CONFIG!$C$5,IF(SIGN($D41-$E41)=SIGN(_xlfn.XLOOKUP($C41,tPartidos[MatchID],tPartidos[GL_Real],0)-_xlfn.XLOOKUP($C41,tPartidos[MatchID],tPartidos[GV_Real],0)),CONFIG!$C$6,0))))</f>
        <v/>
      </c>
    </row>
    <row r="42" spans="6:6">
      <c r="F42" t="str">
        <f>IF($C42="","",IF(NOT(_xlfn.XLOOKUP($C42,tPartidos[MatchID],tPartidos[Jugado],"No")="Sí"),0,IF(AND($D42=_xlfn.XLOOKUP($C42,tPartidos[MatchID],tPartidos[GL_Real],""),$E42=_xlfn.XLOOKUP($C42,tPartidos[MatchID],tPartidos[GV_Real],"")),CONFIG!$C$5,IF(SIGN($D42-$E42)=SIGN(_xlfn.XLOOKUP($C42,tPartidos[MatchID],tPartidos[GL_Real],0)-_xlfn.XLOOKUP($C42,tPartidos[MatchID],tPartidos[GV_Real],0)),CONFIG!$C$6,0))))</f>
        <v/>
      </c>
    </row>
    <row r="43" spans="6:6">
      <c r="F43" t="str">
        <f>IF($C43="","",IF(NOT(_xlfn.XLOOKUP($C43,tPartidos[MatchID],tPartidos[Jugado],"No")="Sí"),0,IF(AND($D43=_xlfn.XLOOKUP($C43,tPartidos[MatchID],tPartidos[GL_Real],""),$E43=_xlfn.XLOOKUP($C43,tPartidos[MatchID],tPartidos[GV_Real],"")),CONFIG!$C$5,IF(SIGN($D43-$E43)=SIGN(_xlfn.XLOOKUP($C43,tPartidos[MatchID],tPartidos[GL_Real],0)-_xlfn.XLOOKUP($C43,tPartidos[MatchID],tPartidos[GV_Real],0)),CONFIG!$C$6,0))))</f>
        <v/>
      </c>
    </row>
    <row r="44" spans="6:6">
      <c r="F44" t="str">
        <f>IF($C44="","",IF(NOT(_xlfn.XLOOKUP($C44,tPartidos[MatchID],tPartidos[Jugado],"No")="Sí"),0,IF(AND($D44=_xlfn.XLOOKUP($C44,tPartidos[MatchID],tPartidos[GL_Real],""),$E44=_xlfn.XLOOKUP($C44,tPartidos[MatchID],tPartidos[GV_Real],"")),CONFIG!$C$5,IF(SIGN($D44-$E44)=SIGN(_xlfn.XLOOKUP($C44,tPartidos[MatchID],tPartidos[GL_Real],0)-_xlfn.XLOOKUP($C44,tPartidos[MatchID],tPartidos[GV_Real],0)),CONFIG!$C$6,0))))</f>
        <v/>
      </c>
    </row>
    <row r="45" spans="6:6">
      <c r="F45" t="str">
        <f>IF($C45="","",IF(NOT(_xlfn.XLOOKUP($C45,tPartidos[MatchID],tPartidos[Jugado],"No")="Sí"),0,IF(AND($D45=_xlfn.XLOOKUP($C45,tPartidos[MatchID],tPartidos[GL_Real],""),$E45=_xlfn.XLOOKUP($C45,tPartidos[MatchID],tPartidos[GV_Real],"")),CONFIG!$C$5,IF(SIGN($D45-$E45)=SIGN(_xlfn.XLOOKUP($C45,tPartidos[MatchID],tPartidos[GL_Real],0)-_xlfn.XLOOKUP($C45,tPartidos[MatchID],tPartidos[GV_Real],0)),CONFIG!$C$6,0))))</f>
        <v/>
      </c>
    </row>
    <row r="46" spans="6:6">
      <c r="F46" t="str">
        <f>IF($C46="","",IF(NOT(_xlfn.XLOOKUP($C46,tPartidos[MatchID],tPartidos[Jugado],"No")="Sí"),0,IF(AND($D46=_xlfn.XLOOKUP($C46,tPartidos[MatchID],tPartidos[GL_Real],""),$E46=_xlfn.XLOOKUP($C46,tPartidos[MatchID],tPartidos[GV_Real],"")),CONFIG!$C$5,IF(SIGN($D46-$E46)=SIGN(_xlfn.XLOOKUP($C46,tPartidos[MatchID],tPartidos[GL_Real],0)-_xlfn.XLOOKUP($C46,tPartidos[MatchID],tPartidos[GV_Real],0)),CONFIG!$C$6,0))))</f>
        <v/>
      </c>
    </row>
    <row r="47" spans="6:6">
      <c r="F47" t="str">
        <f>IF($C47="","",IF(NOT(_xlfn.XLOOKUP($C47,tPartidos[MatchID],tPartidos[Jugado],"No")="Sí"),0,IF(AND($D47=_xlfn.XLOOKUP($C47,tPartidos[MatchID],tPartidos[GL_Real],""),$E47=_xlfn.XLOOKUP($C47,tPartidos[MatchID],tPartidos[GV_Real],"")),CONFIG!$C$5,IF(SIGN($D47-$E47)=SIGN(_xlfn.XLOOKUP($C47,tPartidos[MatchID],tPartidos[GL_Real],0)-_xlfn.XLOOKUP($C47,tPartidos[MatchID],tPartidos[GV_Real],0)),CONFIG!$C$6,0))))</f>
        <v/>
      </c>
    </row>
    <row r="48" spans="6:6">
      <c r="F48" t="str">
        <f>IF($C48="","",IF(NOT(_xlfn.XLOOKUP($C48,tPartidos[MatchID],tPartidos[Jugado],"No")="Sí"),0,IF(AND($D48=_xlfn.XLOOKUP($C48,tPartidos[MatchID],tPartidos[GL_Real],""),$E48=_xlfn.XLOOKUP($C48,tPartidos[MatchID],tPartidos[GV_Real],"")),CONFIG!$C$5,IF(SIGN($D48-$E48)=SIGN(_xlfn.XLOOKUP($C48,tPartidos[MatchID],tPartidos[GL_Real],0)-_xlfn.XLOOKUP($C48,tPartidos[MatchID],tPartidos[GV_Real],0)),CONFIG!$C$6,0))))</f>
        <v/>
      </c>
    </row>
    <row r="49" spans="6:6">
      <c r="F49" t="str">
        <f>IF($C49="","",IF(NOT(_xlfn.XLOOKUP($C49,tPartidos[MatchID],tPartidos[Jugado],"No")="Sí"),0,IF(AND($D49=_xlfn.XLOOKUP($C49,tPartidos[MatchID],tPartidos[GL_Real],""),$E49=_xlfn.XLOOKUP($C49,tPartidos[MatchID],tPartidos[GV_Real],"")),CONFIG!$C$5,IF(SIGN($D49-$E49)=SIGN(_xlfn.XLOOKUP($C49,tPartidos[MatchID],tPartidos[GL_Real],0)-_xlfn.XLOOKUP($C49,tPartidos[MatchID],tPartidos[GV_Real],0)),CONFIG!$C$6,0))))</f>
        <v/>
      </c>
    </row>
    <row r="50" spans="6:6">
      <c r="F50" t="str">
        <f>IF($C50="","",IF(NOT(_xlfn.XLOOKUP($C50,tPartidos[MatchID],tPartidos[Jugado],"No")="Sí"),0,IF(AND($D50=_xlfn.XLOOKUP($C50,tPartidos[MatchID],tPartidos[GL_Real],""),$E50=_xlfn.XLOOKUP($C50,tPartidos[MatchID],tPartidos[GV_Real],"")),CONFIG!$C$5,IF(SIGN($D50-$E50)=SIGN(_xlfn.XLOOKUP($C50,tPartidos[MatchID],tPartidos[GL_Real],0)-_xlfn.XLOOKUP($C50,tPartidos[MatchID],tPartidos[GV_Real],0)),CONFIG!$C$6,0))))</f>
        <v/>
      </c>
    </row>
    <row r="51" spans="6:6">
      <c r="F51" t="str">
        <f>IF($C51="","",IF(NOT(_xlfn.XLOOKUP($C51,tPartidos[MatchID],tPartidos[Jugado],"No")="Sí"),0,IF(AND($D51=_xlfn.XLOOKUP($C51,tPartidos[MatchID],tPartidos[GL_Real],""),$E51=_xlfn.XLOOKUP($C51,tPartidos[MatchID],tPartidos[GV_Real],"")),CONFIG!$C$5,IF(SIGN($D51-$E51)=SIGN(_xlfn.XLOOKUP($C51,tPartidos[MatchID],tPartidos[GL_Real],0)-_xlfn.XLOOKUP($C51,tPartidos[MatchID],tPartidos[GV_Real],0)),CONFIG!$C$6,0))))</f>
        <v/>
      </c>
    </row>
    <row r="52" spans="6:6">
      <c r="F52" t="str">
        <f>IF($C52="","",IF(NOT(_xlfn.XLOOKUP($C52,tPartidos[MatchID],tPartidos[Jugado],"No")="Sí"),0,IF(AND($D52=_xlfn.XLOOKUP($C52,tPartidos[MatchID],tPartidos[GL_Real],""),$E52=_xlfn.XLOOKUP($C52,tPartidos[MatchID],tPartidos[GV_Real],"")),CONFIG!$C$5,IF(SIGN($D52-$E52)=SIGN(_xlfn.XLOOKUP($C52,tPartidos[MatchID],tPartidos[GL_Real],0)-_xlfn.XLOOKUP($C52,tPartidos[MatchID],tPartidos[GV_Real],0)),CONFIG!$C$6,0))))</f>
        <v/>
      </c>
    </row>
    <row r="53" spans="6:6">
      <c r="F53" t="str">
        <f>IF($C53="","",IF(NOT(_xlfn.XLOOKUP($C53,tPartidos[MatchID],tPartidos[Jugado],"No")="Sí"),0,IF(AND($D53=_xlfn.XLOOKUP($C53,tPartidos[MatchID],tPartidos[GL_Real],""),$E53=_xlfn.XLOOKUP($C53,tPartidos[MatchID],tPartidos[GV_Real],"")),CONFIG!$C$5,IF(SIGN($D53-$E53)=SIGN(_xlfn.XLOOKUP($C53,tPartidos[MatchID],tPartidos[GL_Real],0)-_xlfn.XLOOKUP($C53,tPartidos[MatchID],tPartidos[GV_Real],0)),CONFIG!$C$6,0))))</f>
        <v/>
      </c>
    </row>
    <row r="54" spans="6:6">
      <c r="F54" t="str">
        <f>IF($C54="","",IF(NOT(_xlfn.XLOOKUP($C54,tPartidos[MatchID],tPartidos[Jugado],"No")="Sí"),0,IF(AND($D54=_xlfn.XLOOKUP($C54,tPartidos[MatchID],tPartidos[GL_Real],""),$E54=_xlfn.XLOOKUP($C54,tPartidos[MatchID],tPartidos[GV_Real],"")),CONFIG!$C$5,IF(SIGN($D54-$E54)=SIGN(_xlfn.XLOOKUP($C54,tPartidos[MatchID],tPartidos[GL_Real],0)-_xlfn.XLOOKUP($C54,tPartidos[MatchID],tPartidos[GV_Real],0)),CONFIG!$C$6,0))))</f>
        <v/>
      </c>
    </row>
    <row r="55" spans="6:6">
      <c r="F55" t="str">
        <f>IF($C55="","",IF(NOT(_xlfn.XLOOKUP($C55,tPartidos[MatchID],tPartidos[Jugado],"No")="Sí"),0,IF(AND($D55=_xlfn.XLOOKUP($C55,tPartidos[MatchID],tPartidos[GL_Real],""),$E55=_xlfn.XLOOKUP($C55,tPartidos[MatchID],tPartidos[GV_Real],"")),CONFIG!$C$5,IF(SIGN($D55-$E55)=SIGN(_xlfn.XLOOKUP($C55,tPartidos[MatchID],tPartidos[GL_Real],0)-_xlfn.XLOOKUP($C55,tPartidos[MatchID],tPartidos[GV_Real],0)),CONFIG!$C$6,0))))</f>
        <v/>
      </c>
    </row>
    <row r="56" spans="6:6">
      <c r="F56" t="str">
        <f>IF($C56="","",IF(NOT(_xlfn.XLOOKUP($C56,tPartidos[MatchID],tPartidos[Jugado],"No")="Sí"),0,IF(AND($D56=_xlfn.XLOOKUP($C56,tPartidos[MatchID],tPartidos[GL_Real],""),$E56=_xlfn.XLOOKUP($C56,tPartidos[MatchID],tPartidos[GV_Real],"")),CONFIG!$C$5,IF(SIGN($D56-$E56)=SIGN(_xlfn.XLOOKUP($C56,tPartidos[MatchID],tPartidos[GL_Real],0)-_xlfn.XLOOKUP($C56,tPartidos[MatchID],tPartidos[GV_Real],0)),CONFIG!$C$6,0))))</f>
        <v/>
      </c>
    </row>
    <row r="57" spans="6:6">
      <c r="F57" t="str">
        <f>IF($C57="","",IF(NOT(_xlfn.XLOOKUP($C57,tPartidos[MatchID],tPartidos[Jugado],"No")="Sí"),0,IF(AND($D57=_xlfn.XLOOKUP($C57,tPartidos[MatchID],tPartidos[GL_Real],""),$E57=_xlfn.XLOOKUP($C57,tPartidos[MatchID],tPartidos[GV_Real],"")),CONFIG!$C$5,IF(SIGN($D57-$E57)=SIGN(_xlfn.XLOOKUP($C57,tPartidos[MatchID],tPartidos[GL_Real],0)-_xlfn.XLOOKUP($C57,tPartidos[MatchID],tPartidos[GV_Real],0)),CONFIG!$C$6,0))))</f>
        <v/>
      </c>
    </row>
    <row r="58" spans="6:6">
      <c r="F58" t="str">
        <f>IF($C58="","",IF(NOT(_xlfn.XLOOKUP($C58,tPartidos[MatchID],tPartidos[Jugado],"No")="Sí"),0,IF(AND($D58=_xlfn.XLOOKUP($C58,tPartidos[MatchID],tPartidos[GL_Real],""),$E58=_xlfn.XLOOKUP($C58,tPartidos[MatchID],tPartidos[GV_Real],"")),CONFIG!$C$5,IF(SIGN($D58-$E58)=SIGN(_xlfn.XLOOKUP($C58,tPartidos[MatchID],tPartidos[GL_Real],0)-_xlfn.XLOOKUP($C58,tPartidos[MatchID],tPartidos[GV_Real],0)),CONFIG!$C$6,0))))</f>
        <v/>
      </c>
    </row>
    <row r="59" spans="6:6">
      <c r="F59" t="str">
        <f>IF($C59="","",IF(NOT(_xlfn.XLOOKUP($C59,tPartidos[MatchID],tPartidos[Jugado],"No")="Sí"),0,IF(AND($D59=_xlfn.XLOOKUP($C59,tPartidos[MatchID],tPartidos[GL_Real],""),$E59=_xlfn.XLOOKUP($C59,tPartidos[MatchID],tPartidos[GV_Real],"")),CONFIG!$C$5,IF(SIGN($D59-$E59)=SIGN(_xlfn.XLOOKUP($C59,tPartidos[MatchID],tPartidos[GL_Real],0)-_xlfn.XLOOKUP($C59,tPartidos[MatchID],tPartidos[GV_Real],0)),CONFIG!$C$6,0))))</f>
        <v/>
      </c>
    </row>
    <row r="60" spans="6:6">
      <c r="F60" t="str">
        <f>IF($C60="","",IF(NOT(_xlfn.XLOOKUP($C60,tPartidos[MatchID],tPartidos[Jugado],"No")="Sí"),0,IF(AND($D60=_xlfn.XLOOKUP($C60,tPartidos[MatchID],tPartidos[GL_Real],""),$E60=_xlfn.XLOOKUP($C60,tPartidos[MatchID],tPartidos[GV_Real],"")),CONFIG!$C$5,IF(SIGN($D60-$E60)=SIGN(_xlfn.XLOOKUP($C60,tPartidos[MatchID],tPartidos[GL_Real],0)-_xlfn.XLOOKUP($C60,tPartidos[MatchID],tPartidos[GV_Real],0)),CONFIG!$C$6,0))))</f>
        <v/>
      </c>
    </row>
    <row r="61" spans="6:6">
      <c r="F61" t="str">
        <f>IF($C61="","",IF(NOT(_xlfn.XLOOKUP($C61,tPartidos[MatchID],tPartidos[Jugado],"No")="Sí"),0,IF(AND($D61=_xlfn.XLOOKUP($C61,tPartidos[MatchID],tPartidos[GL_Real],""),$E61=_xlfn.XLOOKUP($C61,tPartidos[MatchID],tPartidos[GV_Real],"")),CONFIG!$C$5,IF(SIGN($D61-$E61)=SIGN(_xlfn.XLOOKUP($C61,tPartidos[MatchID],tPartidos[GL_Real],0)-_xlfn.XLOOKUP($C61,tPartidos[MatchID],tPartidos[GV_Real],0)),CONFIG!$C$6,0))))</f>
        <v/>
      </c>
    </row>
    <row r="62" spans="6:6">
      <c r="F62" t="str">
        <f>IF($C62="","",IF(NOT(_xlfn.XLOOKUP($C62,tPartidos[MatchID],tPartidos[Jugado],"No")="Sí"),0,IF(AND($D62=_xlfn.XLOOKUP($C62,tPartidos[MatchID],tPartidos[GL_Real],""),$E62=_xlfn.XLOOKUP($C62,tPartidos[MatchID],tPartidos[GV_Real],"")),CONFIG!$C$5,IF(SIGN($D62-$E62)=SIGN(_xlfn.XLOOKUP($C62,tPartidos[MatchID],tPartidos[GL_Real],0)-_xlfn.XLOOKUP($C62,tPartidos[MatchID],tPartidos[GV_Real],0)),CONFIG!$C$6,0))))</f>
        <v/>
      </c>
    </row>
    <row r="63" spans="6:6">
      <c r="F63" t="str">
        <f>IF($C63="","",IF(NOT(_xlfn.XLOOKUP($C63,tPartidos[MatchID],tPartidos[Jugado],"No")="Sí"),0,IF(AND($D63=_xlfn.XLOOKUP($C63,tPartidos[MatchID],tPartidos[GL_Real],""),$E63=_xlfn.XLOOKUP($C63,tPartidos[MatchID],tPartidos[GV_Real],"")),CONFIG!$C$5,IF(SIGN($D63-$E63)=SIGN(_xlfn.XLOOKUP($C63,tPartidos[MatchID],tPartidos[GL_Real],0)-_xlfn.XLOOKUP($C63,tPartidos[MatchID],tPartidos[GV_Real],0)),CONFIG!$C$6,0))))</f>
        <v/>
      </c>
    </row>
    <row r="64" spans="6:6">
      <c r="F64" t="str">
        <f>IF($C64="","",IF(NOT(_xlfn.XLOOKUP($C64,tPartidos[MatchID],tPartidos[Jugado],"No")="Sí"),0,IF(AND($D64=_xlfn.XLOOKUP($C64,tPartidos[MatchID],tPartidos[GL_Real],""),$E64=_xlfn.XLOOKUP($C64,tPartidos[MatchID],tPartidos[GV_Real],"")),CONFIG!$C$5,IF(SIGN($D64-$E64)=SIGN(_xlfn.XLOOKUP($C64,tPartidos[MatchID],tPartidos[GL_Real],0)-_xlfn.XLOOKUP($C64,tPartidos[MatchID],tPartidos[GV_Real],0)),CONFIG!$C$6,0))))</f>
        <v/>
      </c>
    </row>
    <row r="65" spans="6:6">
      <c r="F65" t="str">
        <f>IF($C65="","",IF(NOT(_xlfn.XLOOKUP($C65,tPartidos[MatchID],tPartidos[Jugado],"No")="Sí"),0,IF(AND($D65=_xlfn.XLOOKUP($C65,tPartidos[MatchID],tPartidos[GL_Real],""),$E65=_xlfn.XLOOKUP($C65,tPartidos[MatchID],tPartidos[GV_Real],"")),CONFIG!$C$5,IF(SIGN($D65-$E65)=SIGN(_xlfn.XLOOKUP($C65,tPartidos[MatchID],tPartidos[GL_Real],0)-_xlfn.XLOOKUP($C65,tPartidos[MatchID],tPartidos[GV_Real],0)),CONFIG!$C$6,0))))</f>
        <v/>
      </c>
    </row>
    <row r="66" spans="6:6">
      <c r="F66" t="str">
        <f>IF($C66="","",IF(NOT(_xlfn.XLOOKUP($C66,tPartidos[MatchID],tPartidos[Jugado],"No")="Sí"),0,IF(AND($D66=_xlfn.XLOOKUP($C66,tPartidos[MatchID],tPartidos[GL_Real],""),$E66=_xlfn.XLOOKUP($C66,tPartidos[MatchID],tPartidos[GV_Real],"")),CONFIG!$C$5,IF(SIGN($D66-$E66)=SIGN(_xlfn.XLOOKUP($C66,tPartidos[MatchID],tPartidos[GL_Real],0)-_xlfn.XLOOKUP($C66,tPartidos[MatchID],tPartidos[GV_Real],0)),CONFIG!$C$6,0))))</f>
        <v/>
      </c>
    </row>
    <row r="67" spans="6:6">
      <c r="F67" t="str">
        <f>IF($C67="","",IF(NOT(_xlfn.XLOOKUP($C67,tPartidos[MatchID],tPartidos[Jugado],"No")="Sí"),0,IF(AND($D67=_xlfn.XLOOKUP($C67,tPartidos[MatchID],tPartidos[GL_Real],""),$E67=_xlfn.XLOOKUP($C67,tPartidos[MatchID],tPartidos[GV_Real],"")),CONFIG!$C$5,IF(SIGN($D67-$E67)=SIGN(_xlfn.XLOOKUP($C67,tPartidos[MatchID],tPartidos[GL_Real],0)-_xlfn.XLOOKUP($C67,tPartidos[MatchID],tPartidos[GV_Real],0)),CONFIG!$C$6,0))))</f>
        <v/>
      </c>
    </row>
    <row r="68" spans="6:6">
      <c r="F68" t="str">
        <f>IF($C68="","",IF(NOT(_xlfn.XLOOKUP($C68,tPartidos[MatchID],tPartidos[Jugado],"No")="Sí"),0,IF(AND($D68=_xlfn.XLOOKUP($C68,tPartidos[MatchID],tPartidos[GL_Real],""),$E68=_xlfn.XLOOKUP($C68,tPartidos[MatchID],tPartidos[GV_Real],"")),CONFIG!$C$5,IF(SIGN($D68-$E68)=SIGN(_xlfn.XLOOKUP($C68,tPartidos[MatchID],tPartidos[GL_Real],0)-_xlfn.XLOOKUP($C68,tPartidos[MatchID],tPartidos[GV_Real],0)),CONFIG!$C$6,0))))</f>
        <v/>
      </c>
    </row>
    <row r="69" spans="6:6">
      <c r="F69" t="str">
        <f>IF($C69="","",IF(NOT(_xlfn.XLOOKUP($C69,tPartidos[MatchID],tPartidos[Jugado],"No")="Sí"),0,IF(AND($D69=_xlfn.XLOOKUP($C69,tPartidos[MatchID],tPartidos[GL_Real],""),$E69=_xlfn.XLOOKUP($C69,tPartidos[MatchID],tPartidos[GV_Real],"")),CONFIG!$C$5,IF(SIGN($D69-$E69)=SIGN(_xlfn.XLOOKUP($C69,tPartidos[MatchID],tPartidos[GL_Real],0)-_xlfn.XLOOKUP($C69,tPartidos[MatchID],tPartidos[GV_Real],0)),CONFIG!$C$6,0))))</f>
        <v/>
      </c>
    </row>
    <row r="70" spans="6:6">
      <c r="F70" t="str">
        <f>IF($C70="","",IF(NOT(_xlfn.XLOOKUP($C70,tPartidos[MatchID],tPartidos[Jugado],"No")="Sí"),0,IF(AND($D70=_xlfn.XLOOKUP($C70,tPartidos[MatchID],tPartidos[GL_Real],""),$E70=_xlfn.XLOOKUP($C70,tPartidos[MatchID],tPartidos[GV_Real],"")),CONFIG!$C$5,IF(SIGN($D70-$E70)=SIGN(_xlfn.XLOOKUP($C70,tPartidos[MatchID],tPartidos[GL_Real],0)-_xlfn.XLOOKUP($C70,tPartidos[MatchID],tPartidos[GV_Real],0)),CONFIG!$C$6,0))))</f>
        <v/>
      </c>
    </row>
    <row r="71" spans="6:6">
      <c r="F71" t="str">
        <f>IF($C71="","",IF(NOT(_xlfn.XLOOKUP($C71,tPartidos[MatchID],tPartidos[Jugado],"No")="Sí"),0,IF(AND($D71=_xlfn.XLOOKUP($C71,tPartidos[MatchID],tPartidos[GL_Real],""),$E71=_xlfn.XLOOKUP($C71,tPartidos[MatchID],tPartidos[GV_Real],"")),CONFIG!$C$5,IF(SIGN($D71-$E71)=SIGN(_xlfn.XLOOKUP($C71,tPartidos[MatchID],tPartidos[GL_Real],0)-_xlfn.XLOOKUP($C71,tPartidos[MatchID],tPartidos[GV_Real],0)),CONFIG!$C$6,0))))</f>
        <v/>
      </c>
    </row>
    <row r="72" spans="6:6">
      <c r="F72" t="str">
        <f>IF($C72="","",IF(NOT(_xlfn.XLOOKUP($C72,tPartidos[MatchID],tPartidos[Jugado],"No")="Sí"),0,IF(AND($D72=_xlfn.XLOOKUP($C72,tPartidos[MatchID],tPartidos[GL_Real],""),$E72=_xlfn.XLOOKUP($C72,tPartidos[MatchID],tPartidos[GV_Real],"")),CONFIG!$C$5,IF(SIGN($D72-$E72)=SIGN(_xlfn.XLOOKUP($C72,tPartidos[MatchID],tPartidos[GL_Real],0)-_xlfn.XLOOKUP($C72,tPartidos[MatchID],tPartidos[GV_Real],0)),CONFIG!$C$6,0))))</f>
        <v/>
      </c>
    </row>
    <row r="73" spans="6:6">
      <c r="F73" t="str">
        <f>IF($C73="","",IF(NOT(_xlfn.XLOOKUP($C73,tPartidos[MatchID],tPartidos[Jugado],"No")="Sí"),0,IF(AND($D73=_xlfn.XLOOKUP($C73,tPartidos[MatchID],tPartidos[GL_Real],""),$E73=_xlfn.XLOOKUP($C73,tPartidos[MatchID],tPartidos[GV_Real],"")),CONFIG!$C$5,IF(SIGN($D73-$E73)=SIGN(_xlfn.XLOOKUP($C73,tPartidos[MatchID],tPartidos[GL_Real],0)-_xlfn.XLOOKUP($C73,tPartidos[MatchID],tPartidos[GV_Real],0)),CONFIG!$C$6,0))))</f>
        <v/>
      </c>
    </row>
    <row r="74" spans="6:6">
      <c r="F74" t="str">
        <f>IF($C74="","",IF(NOT(_xlfn.XLOOKUP($C74,tPartidos[MatchID],tPartidos[Jugado],"No")="Sí"),0,IF(AND($D74=_xlfn.XLOOKUP($C74,tPartidos[MatchID],tPartidos[GL_Real],""),$E74=_xlfn.XLOOKUP($C74,tPartidos[MatchID],tPartidos[GV_Real],"")),CONFIG!$C$5,IF(SIGN($D74-$E74)=SIGN(_xlfn.XLOOKUP($C74,tPartidos[MatchID],tPartidos[GL_Real],0)-_xlfn.XLOOKUP($C74,tPartidos[MatchID],tPartidos[GV_Real],0)),CONFIG!$C$6,0))))</f>
        <v/>
      </c>
    </row>
    <row r="75" spans="6:6">
      <c r="F75" t="str">
        <f>IF($C75="","",IF(NOT(_xlfn.XLOOKUP($C75,tPartidos[MatchID],tPartidos[Jugado],"No")="Sí"),0,IF(AND($D75=_xlfn.XLOOKUP($C75,tPartidos[MatchID],tPartidos[GL_Real],""),$E75=_xlfn.XLOOKUP($C75,tPartidos[MatchID],tPartidos[GV_Real],"")),CONFIG!$C$5,IF(SIGN($D75-$E75)=SIGN(_xlfn.XLOOKUP($C75,tPartidos[MatchID],tPartidos[GL_Real],0)-_xlfn.XLOOKUP($C75,tPartidos[MatchID],tPartidos[GV_Real],0)),CONFIG!$C$6,0))))</f>
        <v/>
      </c>
    </row>
    <row r="76" spans="6:6">
      <c r="F76" t="str">
        <f>IF($C76="","",IF(NOT(_xlfn.XLOOKUP($C76,tPartidos[MatchID],tPartidos[Jugado],"No")="Sí"),0,IF(AND($D76=_xlfn.XLOOKUP($C76,tPartidos[MatchID],tPartidos[GL_Real],""),$E76=_xlfn.XLOOKUP($C76,tPartidos[MatchID],tPartidos[GV_Real],"")),CONFIG!$C$5,IF(SIGN($D76-$E76)=SIGN(_xlfn.XLOOKUP($C76,tPartidos[MatchID],tPartidos[GL_Real],0)-_xlfn.XLOOKUP($C76,tPartidos[MatchID],tPartidos[GV_Real],0)),CONFIG!$C$6,0))))</f>
        <v/>
      </c>
    </row>
    <row r="77" spans="6:6">
      <c r="F77" t="str">
        <f>IF($C77="","",IF(NOT(_xlfn.XLOOKUP($C77,tPartidos[MatchID],tPartidos[Jugado],"No")="Sí"),0,IF(AND($D77=_xlfn.XLOOKUP($C77,tPartidos[MatchID],tPartidos[GL_Real],""),$E77=_xlfn.XLOOKUP($C77,tPartidos[MatchID],tPartidos[GV_Real],"")),CONFIG!$C$5,IF(SIGN($D77-$E77)=SIGN(_xlfn.XLOOKUP($C77,tPartidos[MatchID],tPartidos[GL_Real],0)-_xlfn.XLOOKUP($C77,tPartidos[MatchID],tPartidos[GV_Real],0)),CONFIG!$C$6,0))))</f>
        <v/>
      </c>
    </row>
    <row r="78" spans="6:6">
      <c r="F78" t="str">
        <f>IF($C78="","",IF(NOT(_xlfn.XLOOKUP($C78,tPartidos[MatchID],tPartidos[Jugado],"No")="Sí"),0,IF(AND($D78=_xlfn.XLOOKUP($C78,tPartidos[MatchID],tPartidos[GL_Real],""),$E78=_xlfn.XLOOKUP($C78,tPartidos[MatchID],tPartidos[GV_Real],"")),CONFIG!$C$5,IF(SIGN($D78-$E78)=SIGN(_xlfn.XLOOKUP($C78,tPartidos[MatchID],tPartidos[GL_Real],0)-_xlfn.XLOOKUP($C78,tPartidos[MatchID],tPartidos[GV_Real],0)),CONFIG!$C$6,0))))</f>
        <v/>
      </c>
    </row>
    <row r="79" spans="6:6">
      <c r="F79" t="str">
        <f>IF($C79="","",IF(NOT(_xlfn.XLOOKUP($C79,tPartidos[MatchID],tPartidos[Jugado],"No")="Sí"),0,IF(AND($D79=_xlfn.XLOOKUP($C79,tPartidos[MatchID],tPartidos[GL_Real],""),$E79=_xlfn.XLOOKUP($C79,tPartidos[MatchID],tPartidos[GV_Real],"")),CONFIG!$C$5,IF(SIGN($D79-$E79)=SIGN(_xlfn.XLOOKUP($C79,tPartidos[MatchID],tPartidos[GL_Real],0)-_xlfn.XLOOKUP($C79,tPartidos[MatchID],tPartidos[GV_Real],0)),CONFIG!$C$6,0))))</f>
        <v/>
      </c>
    </row>
    <row r="80" spans="6:6">
      <c r="F80" t="str">
        <f>IF($C80="","",IF(NOT(_xlfn.XLOOKUP($C80,tPartidos[MatchID],tPartidos[Jugado],"No")="Sí"),0,IF(AND($D80=_xlfn.XLOOKUP($C80,tPartidos[MatchID],tPartidos[GL_Real],""),$E80=_xlfn.XLOOKUP($C80,tPartidos[MatchID],tPartidos[GV_Real],"")),CONFIG!$C$5,IF(SIGN($D80-$E80)=SIGN(_xlfn.XLOOKUP($C80,tPartidos[MatchID],tPartidos[GL_Real],0)-_xlfn.XLOOKUP($C80,tPartidos[MatchID],tPartidos[GV_Real],0)),CONFIG!$C$6,0))))</f>
        <v/>
      </c>
    </row>
    <row r="81" spans="6:6">
      <c r="F81" t="str">
        <f>IF($C81="","",IF(NOT(_xlfn.XLOOKUP($C81,tPartidos[MatchID],tPartidos[Jugado],"No")="Sí"),0,IF(AND($D81=_xlfn.XLOOKUP($C81,tPartidos[MatchID],tPartidos[GL_Real],""),$E81=_xlfn.XLOOKUP($C81,tPartidos[MatchID],tPartidos[GV_Real],"")),CONFIG!$C$5,IF(SIGN($D81-$E81)=SIGN(_xlfn.XLOOKUP($C81,tPartidos[MatchID],tPartidos[GL_Real],0)-_xlfn.XLOOKUP($C81,tPartidos[MatchID],tPartidos[GV_Real],0)),CONFIG!$C$6,0))))</f>
        <v/>
      </c>
    </row>
    <row r="82" spans="6:6">
      <c r="F82" t="str">
        <f>IF($C82="","",IF(NOT(_xlfn.XLOOKUP($C82,tPartidos[MatchID],tPartidos[Jugado],"No")="Sí"),0,IF(AND($D82=_xlfn.XLOOKUP($C82,tPartidos[MatchID],tPartidos[GL_Real],""),$E82=_xlfn.XLOOKUP($C82,tPartidos[MatchID],tPartidos[GV_Real],"")),CONFIG!$C$5,IF(SIGN($D82-$E82)=SIGN(_xlfn.XLOOKUP($C82,tPartidos[MatchID],tPartidos[GL_Real],0)-_xlfn.XLOOKUP($C82,tPartidos[MatchID],tPartidos[GV_Real],0)),CONFIG!$C$6,0))))</f>
        <v/>
      </c>
    </row>
    <row r="83" spans="6:6">
      <c r="F83" t="str">
        <f>IF($C83="","",IF(NOT(_xlfn.XLOOKUP($C83,tPartidos[MatchID],tPartidos[Jugado],"No")="Sí"),0,IF(AND($D83=_xlfn.XLOOKUP($C83,tPartidos[MatchID],tPartidos[GL_Real],""),$E83=_xlfn.XLOOKUP($C83,tPartidos[MatchID],tPartidos[GV_Real],"")),CONFIG!$C$5,IF(SIGN($D83-$E83)=SIGN(_xlfn.XLOOKUP($C83,tPartidos[MatchID],tPartidos[GL_Real],0)-_xlfn.XLOOKUP($C83,tPartidos[MatchID],tPartidos[GV_Real],0)),CONFIG!$C$6,0))))</f>
        <v/>
      </c>
    </row>
    <row r="84" spans="6:6">
      <c r="F84" t="str">
        <f>IF($C84="","",IF(NOT(_xlfn.XLOOKUP($C84,tPartidos[MatchID],tPartidos[Jugado],"No")="Sí"),0,IF(AND($D84=_xlfn.XLOOKUP($C84,tPartidos[MatchID],tPartidos[GL_Real],""),$E84=_xlfn.XLOOKUP($C84,tPartidos[MatchID],tPartidos[GV_Real],"")),CONFIG!$C$5,IF(SIGN($D84-$E84)=SIGN(_xlfn.XLOOKUP($C84,tPartidos[MatchID],tPartidos[GL_Real],0)-_xlfn.XLOOKUP($C84,tPartidos[MatchID],tPartidos[GV_Real],0)),CONFIG!$C$6,0))))</f>
        <v/>
      </c>
    </row>
    <row r="85" spans="6:6">
      <c r="F85" t="str">
        <f>IF($C85="","",IF(NOT(_xlfn.XLOOKUP($C85,tPartidos[MatchID],tPartidos[Jugado],"No")="Sí"),0,IF(AND($D85=_xlfn.XLOOKUP($C85,tPartidos[MatchID],tPartidos[GL_Real],""),$E85=_xlfn.XLOOKUP($C85,tPartidos[MatchID],tPartidos[GV_Real],"")),CONFIG!$C$5,IF(SIGN($D85-$E85)=SIGN(_xlfn.XLOOKUP($C85,tPartidos[MatchID],tPartidos[GL_Real],0)-_xlfn.XLOOKUP($C85,tPartidos[MatchID],tPartidos[GV_Real],0)),CONFIG!$C$6,0))))</f>
        <v/>
      </c>
    </row>
    <row r="86" spans="6:6">
      <c r="F86" t="str">
        <f>IF($C86="","",IF(NOT(_xlfn.XLOOKUP($C86,tPartidos[MatchID],tPartidos[Jugado],"No")="Sí"),0,IF(AND($D86=_xlfn.XLOOKUP($C86,tPartidos[MatchID],tPartidos[GL_Real],""),$E86=_xlfn.XLOOKUP($C86,tPartidos[MatchID],tPartidos[GV_Real],"")),CONFIG!$C$5,IF(SIGN($D86-$E86)=SIGN(_xlfn.XLOOKUP($C86,tPartidos[MatchID],tPartidos[GL_Real],0)-_xlfn.XLOOKUP($C86,tPartidos[MatchID],tPartidos[GV_Real],0)),CONFIG!$C$6,0))))</f>
        <v/>
      </c>
    </row>
    <row r="87" spans="6:6">
      <c r="F87" t="str">
        <f>IF($C87="","",IF(NOT(_xlfn.XLOOKUP($C87,tPartidos[MatchID],tPartidos[Jugado],"No")="Sí"),0,IF(AND($D87=_xlfn.XLOOKUP($C87,tPartidos[MatchID],tPartidos[GL_Real],""),$E87=_xlfn.XLOOKUP($C87,tPartidos[MatchID],tPartidos[GV_Real],"")),CONFIG!$C$5,IF(SIGN($D87-$E87)=SIGN(_xlfn.XLOOKUP($C87,tPartidos[MatchID],tPartidos[GL_Real],0)-_xlfn.XLOOKUP($C87,tPartidos[MatchID],tPartidos[GV_Real],0)),CONFIG!$C$6,0))))</f>
        <v/>
      </c>
    </row>
    <row r="88" spans="6:6">
      <c r="F88" t="str">
        <f>IF($C88="","",IF(NOT(_xlfn.XLOOKUP($C88,tPartidos[MatchID],tPartidos[Jugado],"No")="Sí"),0,IF(AND($D88=_xlfn.XLOOKUP($C88,tPartidos[MatchID],tPartidos[GL_Real],""),$E88=_xlfn.XLOOKUP($C88,tPartidos[MatchID],tPartidos[GV_Real],"")),CONFIG!$C$5,IF(SIGN($D88-$E88)=SIGN(_xlfn.XLOOKUP($C88,tPartidos[MatchID],tPartidos[GL_Real],0)-_xlfn.XLOOKUP($C88,tPartidos[MatchID],tPartidos[GV_Real],0)),CONFIG!$C$6,0))))</f>
        <v/>
      </c>
    </row>
    <row r="89" spans="6:6">
      <c r="F89" t="str">
        <f>IF($C89="","",IF(NOT(_xlfn.XLOOKUP($C89,tPartidos[MatchID],tPartidos[Jugado],"No")="Sí"),0,IF(AND($D89=_xlfn.XLOOKUP($C89,tPartidos[MatchID],tPartidos[GL_Real],""),$E89=_xlfn.XLOOKUP($C89,tPartidos[MatchID],tPartidos[GV_Real],"")),CONFIG!$C$5,IF(SIGN($D89-$E89)=SIGN(_xlfn.XLOOKUP($C89,tPartidos[MatchID],tPartidos[GL_Real],0)-_xlfn.XLOOKUP($C89,tPartidos[MatchID],tPartidos[GV_Real],0)),CONFIG!$C$6,0))))</f>
        <v/>
      </c>
    </row>
    <row r="90" spans="6:6">
      <c r="F90" t="str">
        <f>IF($C90="","",IF(NOT(_xlfn.XLOOKUP($C90,tPartidos[MatchID],tPartidos[Jugado],"No")="Sí"),0,IF(AND($D90=_xlfn.XLOOKUP($C90,tPartidos[MatchID],tPartidos[GL_Real],""),$E90=_xlfn.XLOOKUP($C90,tPartidos[MatchID],tPartidos[GV_Real],"")),CONFIG!$C$5,IF(SIGN($D90-$E90)=SIGN(_xlfn.XLOOKUP($C90,tPartidos[MatchID],tPartidos[GL_Real],0)-_xlfn.XLOOKUP($C90,tPartidos[MatchID],tPartidos[GV_Real],0)),CONFIG!$C$6,0))))</f>
        <v/>
      </c>
    </row>
    <row r="91" spans="6:6">
      <c r="F91" t="str">
        <f>IF($C91="","",IF(NOT(_xlfn.XLOOKUP($C91,tPartidos[MatchID],tPartidos[Jugado],"No")="Sí"),0,IF(AND($D91=_xlfn.XLOOKUP($C91,tPartidos[MatchID],tPartidos[GL_Real],""),$E91=_xlfn.XLOOKUP($C91,tPartidos[MatchID],tPartidos[GV_Real],"")),CONFIG!$C$5,IF(SIGN($D91-$E91)=SIGN(_xlfn.XLOOKUP($C91,tPartidos[MatchID],tPartidos[GL_Real],0)-_xlfn.XLOOKUP($C91,tPartidos[MatchID],tPartidos[GV_Real],0)),CONFIG!$C$6,0))))</f>
        <v/>
      </c>
    </row>
    <row r="92" spans="6:6">
      <c r="F92" t="str">
        <f>IF($C92="","",IF(NOT(_xlfn.XLOOKUP($C92,tPartidos[MatchID],tPartidos[Jugado],"No")="Sí"),0,IF(AND($D92=_xlfn.XLOOKUP($C92,tPartidos[MatchID],tPartidos[GL_Real],""),$E92=_xlfn.XLOOKUP($C92,tPartidos[MatchID],tPartidos[GV_Real],"")),CONFIG!$C$5,IF(SIGN($D92-$E92)=SIGN(_xlfn.XLOOKUP($C92,tPartidos[MatchID],tPartidos[GL_Real],0)-_xlfn.XLOOKUP($C92,tPartidos[MatchID],tPartidos[GV_Real],0)),CONFIG!$C$6,0))))</f>
        <v/>
      </c>
    </row>
    <row r="93" spans="6:6">
      <c r="F93" t="str">
        <f>IF($C93="","",IF(NOT(_xlfn.XLOOKUP($C93,tPartidos[MatchID],tPartidos[Jugado],"No")="Sí"),0,IF(AND($D93=_xlfn.XLOOKUP($C93,tPartidos[MatchID],tPartidos[GL_Real],""),$E93=_xlfn.XLOOKUP($C93,tPartidos[MatchID],tPartidos[GV_Real],"")),CONFIG!$C$5,IF(SIGN($D93-$E93)=SIGN(_xlfn.XLOOKUP($C93,tPartidos[MatchID],tPartidos[GL_Real],0)-_xlfn.XLOOKUP($C93,tPartidos[MatchID],tPartidos[GV_Real],0)),CONFIG!$C$6,0))))</f>
        <v/>
      </c>
    </row>
    <row r="94" spans="6:6">
      <c r="F94" t="str">
        <f>IF($C94="","",IF(NOT(_xlfn.XLOOKUP($C94,tPartidos[MatchID],tPartidos[Jugado],"No")="Sí"),0,IF(AND($D94=_xlfn.XLOOKUP($C94,tPartidos[MatchID],tPartidos[GL_Real],""),$E94=_xlfn.XLOOKUP($C94,tPartidos[MatchID],tPartidos[GV_Real],"")),CONFIG!$C$5,IF(SIGN($D94-$E94)=SIGN(_xlfn.XLOOKUP($C94,tPartidos[MatchID],tPartidos[GL_Real],0)-_xlfn.XLOOKUP($C94,tPartidos[MatchID],tPartidos[GV_Real],0)),CONFIG!$C$6,0))))</f>
        <v/>
      </c>
    </row>
    <row r="95" spans="6:6">
      <c r="F95" t="str">
        <f>IF($C95="","",IF(NOT(_xlfn.XLOOKUP($C95,tPartidos[MatchID],tPartidos[Jugado],"No")="Sí"),0,IF(AND($D95=_xlfn.XLOOKUP($C95,tPartidos[MatchID],tPartidos[GL_Real],""),$E95=_xlfn.XLOOKUP($C95,tPartidos[MatchID],tPartidos[GV_Real],"")),CONFIG!$C$5,IF(SIGN($D95-$E95)=SIGN(_xlfn.XLOOKUP($C95,tPartidos[MatchID],tPartidos[GL_Real],0)-_xlfn.XLOOKUP($C95,tPartidos[MatchID],tPartidos[GV_Real],0)),CONFIG!$C$6,0))))</f>
        <v/>
      </c>
    </row>
    <row r="96" spans="6:6">
      <c r="F96" t="str">
        <f>IF($C96="","",IF(NOT(_xlfn.XLOOKUP($C96,tPartidos[MatchID],tPartidos[Jugado],"No")="Sí"),0,IF(AND($D96=_xlfn.XLOOKUP($C96,tPartidos[MatchID],tPartidos[GL_Real],""),$E96=_xlfn.XLOOKUP($C96,tPartidos[MatchID],tPartidos[GV_Real],"")),CONFIG!$C$5,IF(SIGN($D96-$E96)=SIGN(_xlfn.XLOOKUP($C96,tPartidos[MatchID],tPartidos[GL_Real],0)-_xlfn.XLOOKUP($C96,tPartidos[MatchID],tPartidos[GV_Real],0)),CONFIG!$C$6,0))))</f>
        <v/>
      </c>
    </row>
    <row r="97" spans="6:6">
      <c r="F97" t="str">
        <f>IF($C97="","",IF(NOT(_xlfn.XLOOKUP($C97,tPartidos[MatchID],tPartidos[Jugado],"No")="Sí"),0,IF(AND($D97=_xlfn.XLOOKUP($C97,tPartidos[MatchID],tPartidos[GL_Real],""),$E97=_xlfn.XLOOKUP($C97,tPartidos[MatchID],tPartidos[GV_Real],"")),CONFIG!$C$5,IF(SIGN($D97-$E97)=SIGN(_xlfn.XLOOKUP($C97,tPartidos[MatchID],tPartidos[GL_Real],0)-_xlfn.XLOOKUP($C97,tPartidos[MatchID],tPartidos[GV_Real],0)),CONFIG!$C$6,0))))</f>
        <v/>
      </c>
    </row>
    <row r="98" spans="6:6">
      <c r="F98" t="str">
        <f>IF($C98="","",IF(NOT(_xlfn.XLOOKUP($C98,tPartidos[MatchID],tPartidos[Jugado],"No")="Sí"),0,IF(AND($D98=_xlfn.XLOOKUP($C98,tPartidos[MatchID],tPartidos[GL_Real],""),$E98=_xlfn.XLOOKUP($C98,tPartidos[MatchID],tPartidos[GV_Real],"")),CONFIG!$C$5,IF(SIGN($D98-$E98)=SIGN(_xlfn.XLOOKUP($C98,tPartidos[MatchID],tPartidos[GL_Real],0)-_xlfn.XLOOKUP($C98,tPartidos[MatchID],tPartidos[GV_Real],0)),CONFIG!$C$6,0))))</f>
        <v/>
      </c>
    </row>
    <row r="99" spans="6:6">
      <c r="F99" t="str">
        <f>IF($C99="","",IF(NOT(_xlfn.XLOOKUP($C99,tPartidos[MatchID],tPartidos[Jugado],"No")="Sí"),0,IF(AND($D99=_xlfn.XLOOKUP($C99,tPartidos[MatchID],tPartidos[GL_Real],""),$E99=_xlfn.XLOOKUP($C99,tPartidos[MatchID],tPartidos[GV_Real],"")),CONFIG!$C$5,IF(SIGN($D99-$E99)=SIGN(_xlfn.XLOOKUP($C99,tPartidos[MatchID],tPartidos[GL_Real],0)-_xlfn.XLOOKUP($C99,tPartidos[MatchID],tPartidos[GV_Real],0)),CONFIG!$C$6,0))))</f>
        <v/>
      </c>
    </row>
    <row r="100" spans="6:6">
      <c r="F100" t="str">
        <f>IF($C100="","",IF(NOT(_xlfn.XLOOKUP($C100,tPartidos[MatchID],tPartidos[Jugado],"No")="Sí"),0,IF(AND($D100=_xlfn.XLOOKUP($C100,tPartidos[MatchID],tPartidos[GL_Real],""),$E100=_xlfn.XLOOKUP($C100,tPartidos[MatchID],tPartidos[GV_Real],"")),CONFIG!$C$5,IF(SIGN($D100-$E100)=SIGN(_xlfn.XLOOKUP($C100,tPartidos[MatchID],tPartidos[GL_Real],0)-_xlfn.XLOOKUP($C100,tPartidos[MatchID],tPartidos[GV_Real],0)),CONFIG!$C$6,0))))</f>
        <v/>
      </c>
    </row>
    <row r="101" spans="6:6">
      <c r="F101" t="str">
        <f>IF($C101="","",IF(NOT(_xlfn.XLOOKUP($C101,tPartidos[MatchID],tPartidos[Jugado],"No")="Sí"),0,IF(AND($D101=_xlfn.XLOOKUP($C101,tPartidos[MatchID],tPartidos[GL_Real],""),$E101=_xlfn.XLOOKUP($C101,tPartidos[MatchID],tPartidos[GV_Real],"")),CONFIG!$C$5,IF(SIGN($D101-$E101)=SIGN(_xlfn.XLOOKUP($C101,tPartidos[MatchID],tPartidos[GL_Real],0)-_xlfn.XLOOKUP($C101,tPartidos[MatchID],tPartidos[GV_Real],0)),CONFIG!$C$6,0))))</f>
        <v/>
      </c>
    </row>
    <row r="102" spans="6:6">
      <c r="F102" t="str">
        <f>IF($C102="","",IF(NOT(_xlfn.XLOOKUP($C102,tPartidos[MatchID],tPartidos[Jugado],"No")="Sí"),0,IF(AND($D102=_xlfn.XLOOKUP($C102,tPartidos[MatchID],tPartidos[GL_Real],""),$E102=_xlfn.XLOOKUP($C102,tPartidos[MatchID],tPartidos[GV_Real],"")),CONFIG!$C$5,IF(SIGN($D102-$E102)=SIGN(_xlfn.XLOOKUP($C102,tPartidos[MatchID],tPartidos[GL_Real],0)-_xlfn.XLOOKUP($C102,tPartidos[MatchID],tPartidos[GV_Real],0)),CONFIG!$C$6,0))))</f>
        <v/>
      </c>
    </row>
    <row r="103" spans="6:6">
      <c r="F103" t="str">
        <f>IF($C103="","",IF(NOT(_xlfn.XLOOKUP($C103,tPartidos[MatchID],tPartidos[Jugado],"No")="Sí"),0,IF(AND($D103=_xlfn.XLOOKUP($C103,tPartidos[MatchID],tPartidos[GL_Real],""),$E103=_xlfn.XLOOKUP($C103,tPartidos[MatchID],tPartidos[GV_Real],"")),CONFIG!$C$5,IF(SIGN($D103-$E103)=SIGN(_xlfn.XLOOKUP($C103,tPartidos[MatchID],tPartidos[GL_Real],0)-_xlfn.XLOOKUP($C103,tPartidos[MatchID],tPartidos[GV_Real],0)),CONFIG!$C$6,0))))</f>
        <v/>
      </c>
    </row>
    <row r="104" spans="6:6">
      <c r="F104" t="str">
        <f>IF($C104="","",IF(NOT(_xlfn.XLOOKUP($C104,tPartidos[MatchID],tPartidos[Jugado],"No")="Sí"),0,IF(AND($D104=_xlfn.XLOOKUP($C104,tPartidos[MatchID],tPartidos[GL_Real],""),$E104=_xlfn.XLOOKUP($C104,tPartidos[MatchID],tPartidos[GV_Real],"")),CONFIG!$C$5,IF(SIGN($D104-$E104)=SIGN(_xlfn.XLOOKUP($C104,tPartidos[MatchID],tPartidos[GL_Real],0)-_xlfn.XLOOKUP($C104,tPartidos[MatchID],tPartidos[GV_Real],0)),CONFIG!$C$6,0))))</f>
        <v/>
      </c>
    </row>
    <row r="105" spans="6:6">
      <c r="F105" t="str">
        <f>IF($C105="","",IF(NOT(_xlfn.XLOOKUP($C105,tPartidos[MatchID],tPartidos[Jugado],"No")="Sí"),0,IF(AND($D105=_xlfn.XLOOKUP($C105,tPartidos[MatchID],tPartidos[GL_Real],""),$E105=_xlfn.XLOOKUP($C105,tPartidos[MatchID],tPartidos[GV_Real],"")),CONFIG!$C$5,IF(SIGN($D105-$E105)=SIGN(_xlfn.XLOOKUP($C105,tPartidos[MatchID],tPartidos[GL_Real],0)-_xlfn.XLOOKUP($C105,tPartidos[MatchID],tPartidos[GV_Real],0)),CONFIG!$C$6,0))))</f>
        <v/>
      </c>
    </row>
    <row r="106" spans="6:6">
      <c r="F106" t="str">
        <f>IF($C106="","",IF(NOT(_xlfn.XLOOKUP($C106,tPartidos[MatchID],tPartidos[Jugado],"No")="Sí"),0,IF(AND($D106=_xlfn.XLOOKUP($C106,tPartidos[MatchID],tPartidos[GL_Real],""),$E106=_xlfn.XLOOKUP($C106,tPartidos[MatchID],tPartidos[GV_Real],"")),CONFIG!$C$5,IF(SIGN($D106-$E106)=SIGN(_xlfn.XLOOKUP($C106,tPartidos[MatchID],tPartidos[GL_Real],0)-_xlfn.XLOOKUP($C106,tPartidos[MatchID],tPartidos[GV_Real],0)),CONFIG!$C$6,0))))</f>
        <v/>
      </c>
    </row>
    <row r="107" spans="6:6">
      <c r="F107" t="str">
        <f>IF($C107="","",IF(NOT(_xlfn.XLOOKUP($C107,tPartidos[MatchID],tPartidos[Jugado],"No")="Sí"),0,IF(AND($D107=_xlfn.XLOOKUP($C107,tPartidos[MatchID],tPartidos[GL_Real],""),$E107=_xlfn.XLOOKUP($C107,tPartidos[MatchID],tPartidos[GV_Real],"")),CONFIG!$C$5,IF(SIGN($D107-$E107)=SIGN(_xlfn.XLOOKUP($C107,tPartidos[MatchID],tPartidos[GL_Real],0)-_xlfn.XLOOKUP($C107,tPartidos[MatchID],tPartidos[GV_Real],0)),CONFIG!$C$6,0))))</f>
        <v/>
      </c>
    </row>
    <row r="108" spans="6:6">
      <c r="F108" t="str">
        <f>IF($C108="","",IF(NOT(_xlfn.XLOOKUP($C108,tPartidos[MatchID],tPartidos[Jugado],"No")="Sí"),0,IF(AND($D108=_xlfn.XLOOKUP($C108,tPartidos[MatchID],tPartidos[GL_Real],""),$E108=_xlfn.XLOOKUP($C108,tPartidos[MatchID],tPartidos[GV_Real],"")),CONFIG!$C$5,IF(SIGN($D108-$E108)=SIGN(_xlfn.XLOOKUP($C108,tPartidos[MatchID],tPartidos[GL_Real],0)-_xlfn.XLOOKUP($C108,tPartidos[MatchID],tPartidos[GV_Real],0)),CONFIG!$C$6,0))))</f>
        <v/>
      </c>
    </row>
    <row r="109" spans="6:6">
      <c r="F109" t="str">
        <f>IF($C109="","",IF(NOT(_xlfn.XLOOKUP($C109,tPartidos[MatchID],tPartidos[Jugado],"No")="Sí"),0,IF(AND($D109=_xlfn.XLOOKUP($C109,tPartidos[MatchID],tPartidos[GL_Real],""),$E109=_xlfn.XLOOKUP($C109,tPartidos[MatchID],tPartidos[GV_Real],"")),CONFIG!$C$5,IF(SIGN($D109-$E109)=SIGN(_xlfn.XLOOKUP($C109,tPartidos[MatchID],tPartidos[GL_Real],0)-_xlfn.XLOOKUP($C109,tPartidos[MatchID],tPartidos[GV_Real],0)),CONFIG!$C$6,0))))</f>
        <v/>
      </c>
    </row>
    <row r="110" spans="6:6">
      <c r="F110" t="str">
        <f>IF($C110="","",IF(NOT(_xlfn.XLOOKUP($C110,tPartidos[MatchID],tPartidos[Jugado],"No")="Sí"),0,IF(AND($D110=_xlfn.XLOOKUP($C110,tPartidos[MatchID],tPartidos[GL_Real],""),$E110=_xlfn.XLOOKUP($C110,tPartidos[MatchID],tPartidos[GV_Real],"")),CONFIG!$C$5,IF(SIGN($D110-$E110)=SIGN(_xlfn.XLOOKUP($C110,tPartidos[MatchID],tPartidos[GL_Real],0)-_xlfn.XLOOKUP($C110,tPartidos[MatchID],tPartidos[GV_Real],0)),CONFIG!$C$6,0))))</f>
        <v/>
      </c>
    </row>
    <row r="111" spans="6:6">
      <c r="F111" t="str">
        <f>IF($C111="","",IF(NOT(_xlfn.XLOOKUP($C111,tPartidos[MatchID],tPartidos[Jugado],"No")="Sí"),0,IF(AND($D111=_xlfn.XLOOKUP($C111,tPartidos[MatchID],tPartidos[GL_Real],""),$E111=_xlfn.XLOOKUP($C111,tPartidos[MatchID],tPartidos[GV_Real],"")),CONFIG!$C$5,IF(SIGN($D111-$E111)=SIGN(_xlfn.XLOOKUP($C111,tPartidos[MatchID],tPartidos[GL_Real],0)-_xlfn.XLOOKUP($C111,tPartidos[MatchID],tPartidos[GV_Real],0)),CONFIG!$C$6,0))))</f>
        <v/>
      </c>
    </row>
    <row r="112" spans="6:6">
      <c r="F112" t="str">
        <f>IF($C112="","",IF(NOT(_xlfn.XLOOKUP($C112,tPartidos[MatchID],tPartidos[Jugado],"No")="Sí"),0,IF(AND($D112=_xlfn.XLOOKUP($C112,tPartidos[MatchID],tPartidos[GL_Real],""),$E112=_xlfn.XLOOKUP($C112,tPartidos[MatchID],tPartidos[GV_Real],"")),CONFIG!$C$5,IF(SIGN($D112-$E112)=SIGN(_xlfn.XLOOKUP($C112,tPartidos[MatchID],tPartidos[GL_Real],0)-_xlfn.XLOOKUP($C112,tPartidos[MatchID],tPartidos[GV_Real],0)),CONFIG!$C$6,0))))</f>
        <v/>
      </c>
    </row>
    <row r="113" spans="6:6">
      <c r="F113" t="str">
        <f>IF($C113="","",IF(NOT(_xlfn.XLOOKUP($C113,tPartidos[MatchID],tPartidos[Jugado],"No")="Sí"),0,IF(AND($D113=_xlfn.XLOOKUP($C113,tPartidos[MatchID],tPartidos[GL_Real],""),$E113=_xlfn.XLOOKUP($C113,tPartidos[MatchID],tPartidos[GV_Real],"")),CONFIG!$C$5,IF(SIGN($D113-$E113)=SIGN(_xlfn.XLOOKUP($C113,tPartidos[MatchID],tPartidos[GL_Real],0)-_xlfn.XLOOKUP($C113,tPartidos[MatchID],tPartidos[GV_Real],0)),CONFIG!$C$6,0))))</f>
        <v/>
      </c>
    </row>
    <row r="114" spans="6:6">
      <c r="F114" t="str">
        <f>IF($C114="","",IF(NOT(_xlfn.XLOOKUP($C114,tPartidos[MatchID],tPartidos[Jugado],"No")="Sí"),0,IF(AND($D114=_xlfn.XLOOKUP($C114,tPartidos[MatchID],tPartidos[GL_Real],""),$E114=_xlfn.XLOOKUP($C114,tPartidos[MatchID],tPartidos[GV_Real],"")),CONFIG!$C$5,IF(SIGN($D114-$E114)=SIGN(_xlfn.XLOOKUP($C114,tPartidos[MatchID],tPartidos[GL_Real],0)-_xlfn.XLOOKUP($C114,tPartidos[MatchID],tPartidos[GV_Real],0)),CONFIG!$C$6,0))))</f>
        <v/>
      </c>
    </row>
    <row r="115" spans="6:6">
      <c r="F115" t="str">
        <f>IF($C115="","",IF(NOT(_xlfn.XLOOKUP($C115,tPartidos[MatchID],tPartidos[Jugado],"No")="Sí"),0,IF(AND($D115=_xlfn.XLOOKUP($C115,tPartidos[MatchID],tPartidos[GL_Real],""),$E115=_xlfn.XLOOKUP($C115,tPartidos[MatchID],tPartidos[GV_Real],"")),CONFIG!$C$5,IF(SIGN($D115-$E115)=SIGN(_xlfn.XLOOKUP($C115,tPartidos[MatchID],tPartidos[GL_Real],0)-_xlfn.XLOOKUP($C115,tPartidos[MatchID],tPartidos[GV_Real],0)),CONFIG!$C$6,0))))</f>
        <v/>
      </c>
    </row>
    <row r="116" spans="6:6">
      <c r="F116" t="str">
        <f>IF($C116="","",IF(NOT(_xlfn.XLOOKUP($C116,tPartidos[MatchID],tPartidos[Jugado],"No")="Sí"),0,IF(AND($D116=_xlfn.XLOOKUP($C116,tPartidos[MatchID],tPartidos[GL_Real],""),$E116=_xlfn.XLOOKUP($C116,tPartidos[MatchID],tPartidos[GV_Real],"")),CONFIG!$C$5,IF(SIGN($D116-$E116)=SIGN(_xlfn.XLOOKUP($C116,tPartidos[MatchID],tPartidos[GL_Real],0)-_xlfn.XLOOKUP($C116,tPartidos[MatchID],tPartidos[GV_Real],0)),CONFIG!$C$6,0))))</f>
        <v/>
      </c>
    </row>
    <row r="117" spans="6:6">
      <c r="F117" t="str">
        <f>IF($C117="","",IF(NOT(_xlfn.XLOOKUP($C117,tPartidos[MatchID],tPartidos[Jugado],"No")="Sí"),0,IF(AND($D117=_xlfn.XLOOKUP($C117,tPartidos[MatchID],tPartidos[GL_Real],""),$E117=_xlfn.XLOOKUP($C117,tPartidos[MatchID],tPartidos[GV_Real],"")),CONFIG!$C$5,IF(SIGN($D117-$E117)=SIGN(_xlfn.XLOOKUP($C117,tPartidos[MatchID],tPartidos[GL_Real],0)-_xlfn.XLOOKUP($C117,tPartidos[MatchID],tPartidos[GV_Real],0)),CONFIG!$C$6,0))))</f>
        <v/>
      </c>
    </row>
    <row r="118" spans="6:6">
      <c r="F118" t="str">
        <f>IF($C118="","",IF(NOT(_xlfn.XLOOKUP($C118,tPartidos[MatchID],tPartidos[Jugado],"No")="Sí"),0,IF(AND($D118=_xlfn.XLOOKUP($C118,tPartidos[MatchID],tPartidos[GL_Real],""),$E118=_xlfn.XLOOKUP($C118,tPartidos[MatchID],tPartidos[GV_Real],"")),CONFIG!$C$5,IF(SIGN($D118-$E118)=SIGN(_xlfn.XLOOKUP($C118,tPartidos[MatchID],tPartidos[GL_Real],0)-_xlfn.XLOOKUP($C118,tPartidos[MatchID],tPartidos[GV_Real],0)),CONFIG!$C$6,0))))</f>
        <v/>
      </c>
    </row>
    <row r="119" spans="6:6">
      <c r="F119" t="str">
        <f>IF($C119="","",IF(NOT(_xlfn.XLOOKUP($C119,tPartidos[MatchID],tPartidos[Jugado],"No")="Sí"),0,IF(AND($D119=_xlfn.XLOOKUP($C119,tPartidos[MatchID],tPartidos[GL_Real],""),$E119=_xlfn.XLOOKUP($C119,tPartidos[MatchID],tPartidos[GV_Real],"")),CONFIG!$C$5,IF(SIGN($D119-$E119)=SIGN(_xlfn.XLOOKUP($C119,tPartidos[MatchID],tPartidos[GL_Real],0)-_xlfn.XLOOKUP($C119,tPartidos[MatchID],tPartidos[GV_Real],0)),CONFIG!$C$6,0))))</f>
        <v/>
      </c>
    </row>
    <row r="120" spans="6:6">
      <c r="F120" t="str">
        <f>IF($C120="","",IF(NOT(_xlfn.XLOOKUP($C120,tPartidos[MatchID],tPartidos[Jugado],"No")="Sí"),0,IF(AND($D120=_xlfn.XLOOKUP($C120,tPartidos[MatchID],tPartidos[GL_Real],""),$E120=_xlfn.XLOOKUP($C120,tPartidos[MatchID],tPartidos[GV_Real],"")),CONFIG!$C$5,IF(SIGN($D120-$E120)=SIGN(_xlfn.XLOOKUP($C120,tPartidos[MatchID],tPartidos[GL_Real],0)-_xlfn.XLOOKUP($C120,tPartidos[MatchID],tPartidos[GV_Real],0)),CONFIG!$C$6,0))))</f>
        <v/>
      </c>
    </row>
    <row r="121" spans="6:6">
      <c r="F121" t="str">
        <f>IF($C121="","",IF(NOT(_xlfn.XLOOKUP($C121,tPartidos[MatchID],tPartidos[Jugado],"No")="Sí"),0,IF(AND($D121=_xlfn.XLOOKUP($C121,tPartidos[MatchID],tPartidos[GL_Real],""),$E121=_xlfn.XLOOKUP($C121,tPartidos[MatchID],tPartidos[GV_Real],"")),CONFIG!$C$5,IF(SIGN($D121-$E121)=SIGN(_xlfn.XLOOKUP($C121,tPartidos[MatchID],tPartidos[GL_Real],0)-_xlfn.XLOOKUP($C121,tPartidos[MatchID],tPartidos[GV_Real],0)),CONFIG!$C$6,0))))</f>
        <v/>
      </c>
    </row>
    <row r="122" spans="6:6">
      <c r="F122" t="str">
        <f>IF($C122="","",IF(NOT(_xlfn.XLOOKUP($C122,tPartidos[MatchID],tPartidos[Jugado],"No")="Sí"),0,IF(AND($D122=_xlfn.XLOOKUP($C122,tPartidos[MatchID],tPartidos[GL_Real],""),$E122=_xlfn.XLOOKUP($C122,tPartidos[MatchID],tPartidos[GV_Real],"")),CONFIG!$C$5,IF(SIGN($D122-$E122)=SIGN(_xlfn.XLOOKUP($C122,tPartidos[MatchID],tPartidos[GL_Real],0)-_xlfn.XLOOKUP($C122,tPartidos[MatchID],tPartidos[GV_Real],0)),CONFIG!$C$6,0))))</f>
        <v/>
      </c>
    </row>
    <row r="123" spans="6:6">
      <c r="F123" t="str">
        <f>IF($C123="","",IF(NOT(_xlfn.XLOOKUP($C123,tPartidos[MatchID],tPartidos[Jugado],"No")="Sí"),0,IF(AND($D123=_xlfn.XLOOKUP($C123,tPartidos[MatchID],tPartidos[GL_Real],""),$E123=_xlfn.XLOOKUP($C123,tPartidos[MatchID],tPartidos[GV_Real],"")),CONFIG!$C$5,IF(SIGN($D123-$E123)=SIGN(_xlfn.XLOOKUP($C123,tPartidos[MatchID],tPartidos[GL_Real],0)-_xlfn.XLOOKUP($C123,tPartidos[MatchID],tPartidos[GV_Real],0)),CONFIG!$C$6,0))))</f>
        <v/>
      </c>
    </row>
    <row r="124" spans="6:6">
      <c r="F124" t="str">
        <f>IF($C124="","",IF(NOT(_xlfn.XLOOKUP($C124,tPartidos[MatchID],tPartidos[Jugado],"No")="Sí"),0,IF(AND($D124=_xlfn.XLOOKUP($C124,tPartidos[MatchID],tPartidos[GL_Real],""),$E124=_xlfn.XLOOKUP($C124,tPartidos[MatchID],tPartidos[GV_Real],"")),CONFIG!$C$5,IF(SIGN($D124-$E124)=SIGN(_xlfn.XLOOKUP($C124,tPartidos[MatchID],tPartidos[GL_Real],0)-_xlfn.XLOOKUP($C124,tPartidos[MatchID],tPartidos[GV_Real],0)),CONFIG!$C$6,0))))</f>
        <v/>
      </c>
    </row>
    <row r="125" spans="6:6">
      <c r="F125" t="str">
        <f>IF($C125="","",IF(NOT(_xlfn.XLOOKUP($C125,tPartidos[MatchID],tPartidos[Jugado],"No")="Sí"),0,IF(AND($D125=_xlfn.XLOOKUP($C125,tPartidos[MatchID],tPartidos[GL_Real],""),$E125=_xlfn.XLOOKUP($C125,tPartidos[MatchID],tPartidos[GV_Real],"")),CONFIG!$C$5,IF(SIGN($D125-$E125)=SIGN(_xlfn.XLOOKUP($C125,tPartidos[MatchID],tPartidos[GL_Real],0)-_xlfn.XLOOKUP($C125,tPartidos[MatchID],tPartidos[GV_Real],0)),CONFIG!$C$6,0))))</f>
        <v/>
      </c>
    </row>
    <row r="126" spans="6:6">
      <c r="F126" t="str">
        <f>IF($C126="","",IF(NOT(_xlfn.XLOOKUP($C126,tPartidos[MatchID],tPartidos[Jugado],"No")="Sí"),0,IF(AND($D126=_xlfn.XLOOKUP($C126,tPartidos[MatchID],tPartidos[GL_Real],""),$E126=_xlfn.XLOOKUP($C126,tPartidos[MatchID],tPartidos[GV_Real],"")),CONFIG!$C$5,IF(SIGN($D126-$E126)=SIGN(_xlfn.XLOOKUP($C126,tPartidos[MatchID],tPartidos[GL_Real],0)-_xlfn.XLOOKUP($C126,tPartidos[MatchID],tPartidos[GV_Real],0)),CONFIG!$C$6,0))))</f>
        <v/>
      </c>
    </row>
    <row r="127" spans="6:6">
      <c r="F127" t="str">
        <f>IF($C127="","",IF(NOT(_xlfn.XLOOKUP($C127,tPartidos[MatchID],tPartidos[Jugado],"No")="Sí"),0,IF(AND($D127=_xlfn.XLOOKUP($C127,tPartidos[MatchID],tPartidos[GL_Real],""),$E127=_xlfn.XLOOKUP($C127,tPartidos[MatchID],tPartidos[GV_Real],"")),CONFIG!$C$5,IF(SIGN($D127-$E127)=SIGN(_xlfn.XLOOKUP($C127,tPartidos[MatchID],tPartidos[GL_Real],0)-_xlfn.XLOOKUP($C127,tPartidos[MatchID],tPartidos[GV_Real],0)),CONFIG!$C$6,0))))</f>
        <v/>
      </c>
    </row>
    <row r="128" spans="6:6">
      <c r="F128" t="str">
        <f>IF($C128="","",IF(NOT(_xlfn.XLOOKUP($C128,tPartidos[MatchID],tPartidos[Jugado],"No")="Sí"),0,IF(AND($D128=_xlfn.XLOOKUP($C128,tPartidos[MatchID],tPartidos[GL_Real],""),$E128=_xlfn.XLOOKUP($C128,tPartidos[MatchID],tPartidos[GV_Real],"")),CONFIG!$C$5,IF(SIGN($D128-$E128)=SIGN(_xlfn.XLOOKUP($C128,tPartidos[MatchID],tPartidos[GL_Real],0)-_xlfn.XLOOKUP($C128,tPartidos[MatchID],tPartidos[GV_Real],0)),CONFIG!$C$6,0))))</f>
        <v/>
      </c>
    </row>
    <row r="129" spans="6:6">
      <c r="F129" t="str">
        <f>IF($C129="","",IF(NOT(_xlfn.XLOOKUP($C129,tPartidos[MatchID],tPartidos[Jugado],"No")="Sí"),0,IF(AND($D129=_xlfn.XLOOKUP($C129,tPartidos[MatchID],tPartidos[GL_Real],""),$E129=_xlfn.XLOOKUP($C129,tPartidos[MatchID],tPartidos[GV_Real],"")),CONFIG!$C$5,IF(SIGN($D129-$E129)=SIGN(_xlfn.XLOOKUP($C129,tPartidos[MatchID],tPartidos[GL_Real],0)-_xlfn.XLOOKUP($C129,tPartidos[MatchID],tPartidos[GV_Real],0)),CONFIG!$C$6,0))))</f>
        <v/>
      </c>
    </row>
    <row r="130" spans="6:6">
      <c r="F130" t="str">
        <f>IF($C130="","",IF(NOT(_xlfn.XLOOKUP($C130,tPartidos[MatchID],tPartidos[Jugado],"No")="Sí"),0,IF(AND($D130=_xlfn.XLOOKUP($C130,tPartidos[MatchID],tPartidos[GL_Real],""),$E130=_xlfn.XLOOKUP($C130,tPartidos[MatchID],tPartidos[GV_Real],"")),CONFIG!$C$5,IF(SIGN($D130-$E130)=SIGN(_xlfn.XLOOKUP($C130,tPartidos[MatchID],tPartidos[GL_Real],0)-_xlfn.XLOOKUP($C130,tPartidos[MatchID],tPartidos[GV_Real],0)),CONFIG!$C$6,0))))</f>
        <v/>
      </c>
    </row>
    <row r="131" spans="6:6">
      <c r="F131" t="str">
        <f>IF($C131="","",IF(NOT(_xlfn.XLOOKUP($C131,tPartidos[MatchID],tPartidos[Jugado],"No")="Sí"),0,IF(AND($D131=_xlfn.XLOOKUP($C131,tPartidos[MatchID],tPartidos[GL_Real],""),$E131=_xlfn.XLOOKUP($C131,tPartidos[MatchID],tPartidos[GV_Real],"")),CONFIG!$C$5,IF(SIGN($D131-$E131)=SIGN(_xlfn.XLOOKUP($C131,tPartidos[MatchID],tPartidos[GL_Real],0)-_xlfn.XLOOKUP($C131,tPartidos[MatchID],tPartidos[GV_Real],0)),CONFIG!$C$6,0))))</f>
        <v/>
      </c>
    </row>
    <row r="132" spans="6:6">
      <c r="F132" t="str">
        <f>IF($C132="","",IF(NOT(_xlfn.XLOOKUP($C132,tPartidos[MatchID],tPartidos[Jugado],"No")="Sí"),0,IF(AND($D132=_xlfn.XLOOKUP($C132,tPartidos[MatchID],tPartidos[GL_Real],""),$E132=_xlfn.XLOOKUP($C132,tPartidos[MatchID],tPartidos[GV_Real],"")),CONFIG!$C$5,IF(SIGN($D132-$E132)=SIGN(_xlfn.XLOOKUP($C132,tPartidos[MatchID],tPartidos[GL_Real],0)-_xlfn.XLOOKUP($C132,tPartidos[MatchID],tPartidos[GV_Real],0)),CONFIG!$C$6,0))))</f>
        <v/>
      </c>
    </row>
    <row r="133" spans="6:6">
      <c r="F133" t="str">
        <f>IF($C133="","",IF(NOT(_xlfn.XLOOKUP($C133,tPartidos[MatchID],tPartidos[Jugado],"No")="Sí"),0,IF(AND($D133=_xlfn.XLOOKUP($C133,tPartidos[MatchID],tPartidos[GL_Real],""),$E133=_xlfn.XLOOKUP($C133,tPartidos[MatchID],tPartidos[GV_Real],"")),CONFIG!$C$5,IF(SIGN($D133-$E133)=SIGN(_xlfn.XLOOKUP($C133,tPartidos[MatchID],tPartidos[GL_Real],0)-_xlfn.XLOOKUP($C133,tPartidos[MatchID],tPartidos[GV_Real],0)),CONFIG!$C$6,0))))</f>
        <v/>
      </c>
    </row>
    <row r="134" spans="6:6">
      <c r="F134" t="str">
        <f>IF($C134="","",IF(NOT(_xlfn.XLOOKUP($C134,tPartidos[MatchID],tPartidos[Jugado],"No")="Sí"),0,IF(AND($D134=_xlfn.XLOOKUP($C134,tPartidos[MatchID],tPartidos[GL_Real],""),$E134=_xlfn.XLOOKUP($C134,tPartidos[MatchID],tPartidos[GV_Real],"")),CONFIG!$C$5,IF(SIGN($D134-$E134)=SIGN(_xlfn.XLOOKUP($C134,tPartidos[MatchID],tPartidos[GL_Real],0)-_xlfn.XLOOKUP($C134,tPartidos[MatchID],tPartidos[GV_Real],0)),CONFIG!$C$6,0))))</f>
        <v/>
      </c>
    </row>
    <row r="135" spans="6:6">
      <c r="F135" t="str">
        <f>IF($C135="","",IF(NOT(_xlfn.XLOOKUP($C135,tPartidos[MatchID],tPartidos[Jugado],"No")="Sí"),0,IF(AND($D135=_xlfn.XLOOKUP($C135,tPartidos[MatchID],tPartidos[GL_Real],""),$E135=_xlfn.XLOOKUP($C135,tPartidos[MatchID],tPartidos[GV_Real],"")),CONFIG!$C$5,IF(SIGN($D135-$E135)=SIGN(_xlfn.XLOOKUP($C135,tPartidos[MatchID],tPartidos[GL_Real],0)-_xlfn.XLOOKUP($C135,tPartidos[MatchID],tPartidos[GV_Real],0)),CONFIG!$C$6,0))))</f>
        <v/>
      </c>
    </row>
    <row r="136" spans="6:6">
      <c r="F136" t="str">
        <f>IF($C136="","",IF(NOT(_xlfn.XLOOKUP($C136,tPartidos[MatchID],tPartidos[Jugado],"No")="Sí"),0,IF(AND($D136=_xlfn.XLOOKUP($C136,tPartidos[MatchID],tPartidos[GL_Real],""),$E136=_xlfn.XLOOKUP($C136,tPartidos[MatchID],tPartidos[GV_Real],"")),CONFIG!$C$5,IF(SIGN($D136-$E136)=SIGN(_xlfn.XLOOKUP($C136,tPartidos[MatchID],tPartidos[GL_Real],0)-_xlfn.XLOOKUP($C136,tPartidos[MatchID],tPartidos[GV_Real],0)),CONFIG!$C$6,0))))</f>
        <v/>
      </c>
    </row>
    <row r="137" spans="6:6">
      <c r="F137" t="str">
        <f>IF($C137="","",IF(NOT(_xlfn.XLOOKUP($C137,tPartidos[MatchID],tPartidos[Jugado],"No")="Sí"),0,IF(AND($D137=_xlfn.XLOOKUP($C137,tPartidos[MatchID],tPartidos[GL_Real],""),$E137=_xlfn.XLOOKUP($C137,tPartidos[MatchID],tPartidos[GV_Real],"")),CONFIG!$C$5,IF(SIGN($D137-$E137)=SIGN(_xlfn.XLOOKUP($C137,tPartidos[MatchID],tPartidos[GL_Real],0)-_xlfn.XLOOKUP($C137,tPartidos[MatchID],tPartidos[GV_Real],0)),CONFIG!$C$6,0))))</f>
        <v/>
      </c>
    </row>
    <row r="138" spans="6:6">
      <c r="F138" t="str">
        <f>IF($C138="","",IF(NOT(_xlfn.XLOOKUP($C138,tPartidos[MatchID],tPartidos[Jugado],"No")="Sí"),0,IF(AND($D138=_xlfn.XLOOKUP($C138,tPartidos[MatchID],tPartidos[GL_Real],""),$E138=_xlfn.XLOOKUP($C138,tPartidos[MatchID],tPartidos[GV_Real],"")),CONFIG!$C$5,IF(SIGN($D138-$E138)=SIGN(_xlfn.XLOOKUP($C138,tPartidos[MatchID],tPartidos[GL_Real],0)-_xlfn.XLOOKUP($C138,tPartidos[MatchID],tPartidos[GV_Real],0)),CONFIG!$C$6,0))))</f>
        <v/>
      </c>
    </row>
    <row r="139" spans="6:6">
      <c r="F139" t="str">
        <f>IF($C139="","",IF(NOT(_xlfn.XLOOKUP($C139,tPartidos[MatchID],tPartidos[Jugado],"No")="Sí"),0,IF(AND($D139=_xlfn.XLOOKUP($C139,tPartidos[MatchID],tPartidos[GL_Real],""),$E139=_xlfn.XLOOKUP($C139,tPartidos[MatchID],tPartidos[GV_Real],"")),CONFIG!$C$5,IF(SIGN($D139-$E139)=SIGN(_xlfn.XLOOKUP($C139,tPartidos[MatchID],tPartidos[GL_Real],0)-_xlfn.XLOOKUP($C139,tPartidos[MatchID],tPartidos[GV_Real],0)),CONFIG!$C$6,0))))</f>
        <v/>
      </c>
    </row>
    <row r="140" spans="6:6">
      <c r="F140" t="str">
        <f>IF($C140="","",IF(NOT(_xlfn.XLOOKUP($C140,tPartidos[MatchID],tPartidos[Jugado],"No")="Sí"),0,IF(AND($D140=_xlfn.XLOOKUP($C140,tPartidos[MatchID],tPartidos[GL_Real],""),$E140=_xlfn.XLOOKUP($C140,tPartidos[MatchID],tPartidos[GV_Real],"")),CONFIG!$C$5,IF(SIGN($D140-$E140)=SIGN(_xlfn.XLOOKUP($C140,tPartidos[MatchID],tPartidos[GL_Real],0)-_xlfn.XLOOKUP($C140,tPartidos[MatchID],tPartidos[GV_Real],0)),CONFIG!$C$6,0))))</f>
        <v/>
      </c>
    </row>
    <row r="141" spans="6:6">
      <c r="F141" t="str">
        <f>IF($C141="","",IF(NOT(_xlfn.XLOOKUP($C141,tPartidos[MatchID],tPartidos[Jugado],"No")="Sí"),0,IF(AND($D141=_xlfn.XLOOKUP($C141,tPartidos[MatchID],tPartidos[GL_Real],""),$E141=_xlfn.XLOOKUP($C141,tPartidos[MatchID],tPartidos[GV_Real],"")),CONFIG!$C$5,IF(SIGN($D141-$E141)=SIGN(_xlfn.XLOOKUP($C141,tPartidos[MatchID],tPartidos[GL_Real],0)-_xlfn.XLOOKUP($C141,tPartidos[MatchID],tPartidos[GV_Real],0)),CONFIG!$C$6,0))))</f>
        <v/>
      </c>
    </row>
    <row r="142" spans="6:6">
      <c r="F142" t="str">
        <f>IF($C142="","",IF(NOT(_xlfn.XLOOKUP($C142,tPartidos[MatchID],tPartidos[Jugado],"No")="Sí"),0,IF(AND($D142=_xlfn.XLOOKUP($C142,tPartidos[MatchID],tPartidos[GL_Real],""),$E142=_xlfn.XLOOKUP($C142,tPartidos[MatchID],tPartidos[GV_Real],"")),CONFIG!$C$5,IF(SIGN($D142-$E142)=SIGN(_xlfn.XLOOKUP($C142,tPartidos[MatchID],tPartidos[GL_Real],0)-_xlfn.XLOOKUP($C142,tPartidos[MatchID],tPartidos[GV_Real],0)),CONFIG!$C$6,0))))</f>
        <v/>
      </c>
    </row>
    <row r="143" spans="6:6">
      <c r="F143" t="str">
        <f>IF($C143="","",IF(NOT(_xlfn.XLOOKUP($C143,tPartidos[MatchID],tPartidos[Jugado],"No")="Sí"),0,IF(AND($D143=_xlfn.XLOOKUP($C143,tPartidos[MatchID],tPartidos[GL_Real],""),$E143=_xlfn.XLOOKUP($C143,tPartidos[MatchID],tPartidos[GV_Real],"")),CONFIG!$C$5,IF(SIGN($D143-$E143)=SIGN(_xlfn.XLOOKUP($C143,tPartidos[MatchID],tPartidos[GL_Real],0)-_xlfn.XLOOKUP($C143,tPartidos[MatchID],tPartidos[GV_Real],0)),CONFIG!$C$6,0))))</f>
        <v/>
      </c>
    </row>
    <row r="144" spans="6:6">
      <c r="F144" t="str">
        <f>IF($C144="","",IF(NOT(_xlfn.XLOOKUP($C144,tPartidos[MatchID],tPartidos[Jugado],"No")="Sí"),0,IF(AND($D144=_xlfn.XLOOKUP($C144,tPartidos[MatchID],tPartidos[GL_Real],""),$E144=_xlfn.XLOOKUP($C144,tPartidos[MatchID],tPartidos[GV_Real],"")),CONFIG!$C$5,IF(SIGN($D144-$E144)=SIGN(_xlfn.XLOOKUP($C144,tPartidos[MatchID],tPartidos[GL_Real],0)-_xlfn.XLOOKUP($C144,tPartidos[MatchID],tPartidos[GV_Real],0)),CONFIG!$C$6,0))))</f>
        <v/>
      </c>
    </row>
    <row r="145" spans="6:6">
      <c r="F145" t="str">
        <f>IF($C145="","",IF(NOT(_xlfn.XLOOKUP($C145,tPartidos[MatchID],tPartidos[Jugado],"No")="Sí"),0,IF(AND($D145=_xlfn.XLOOKUP($C145,tPartidos[MatchID],tPartidos[GL_Real],""),$E145=_xlfn.XLOOKUP($C145,tPartidos[MatchID],tPartidos[GV_Real],"")),CONFIG!$C$5,IF(SIGN($D145-$E145)=SIGN(_xlfn.XLOOKUP($C145,tPartidos[MatchID],tPartidos[GL_Real],0)-_xlfn.XLOOKUP($C145,tPartidos[MatchID],tPartidos[GV_Real],0)),CONFIG!$C$6,0))))</f>
        <v/>
      </c>
    </row>
    <row r="146" spans="6:6">
      <c r="F146" t="str">
        <f>IF($C146="","",IF(NOT(_xlfn.XLOOKUP($C146,tPartidos[MatchID],tPartidos[Jugado],"No")="Sí"),0,IF(AND($D146=_xlfn.XLOOKUP($C146,tPartidos[MatchID],tPartidos[GL_Real],""),$E146=_xlfn.XLOOKUP($C146,tPartidos[MatchID],tPartidos[GV_Real],"")),CONFIG!$C$5,IF(SIGN($D146-$E146)=SIGN(_xlfn.XLOOKUP($C146,tPartidos[MatchID],tPartidos[GL_Real],0)-_xlfn.XLOOKUP($C146,tPartidos[MatchID],tPartidos[GV_Real],0)),CONFIG!$C$6,0))))</f>
        <v/>
      </c>
    </row>
    <row r="147" spans="6:6">
      <c r="F147" t="str">
        <f>IF($C147="","",IF(NOT(_xlfn.XLOOKUP($C147,tPartidos[MatchID],tPartidos[Jugado],"No")="Sí"),0,IF(AND($D147=_xlfn.XLOOKUP($C147,tPartidos[MatchID],tPartidos[GL_Real],""),$E147=_xlfn.XLOOKUP($C147,tPartidos[MatchID],tPartidos[GV_Real],"")),CONFIG!$C$5,IF(SIGN($D147-$E147)=SIGN(_xlfn.XLOOKUP($C147,tPartidos[MatchID],tPartidos[GL_Real],0)-_xlfn.XLOOKUP($C147,tPartidos[MatchID],tPartidos[GV_Real],0)),CONFIG!$C$6,0))))</f>
        <v/>
      </c>
    </row>
    <row r="148" spans="6:6">
      <c r="F148" t="str">
        <f>IF($C148="","",IF(NOT(_xlfn.XLOOKUP($C148,tPartidos[MatchID],tPartidos[Jugado],"No")="Sí"),0,IF(AND($D148=_xlfn.XLOOKUP($C148,tPartidos[MatchID],tPartidos[GL_Real],""),$E148=_xlfn.XLOOKUP($C148,tPartidos[MatchID],tPartidos[GV_Real],"")),CONFIG!$C$5,IF(SIGN($D148-$E148)=SIGN(_xlfn.XLOOKUP($C148,tPartidos[MatchID],tPartidos[GL_Real],0)-_xlfn.XLOOKUP($C148,tPartidos[MatchID],tPartidos[GV_Real],0)),CONFIG!$C$6,0))))</f>
        <v/>
      </c>
    </row>
    <row r="149" spans="6:6">
      <c r="F149" t="str">
        <f>IF($C149="","",IF(NOT(_xlfn.XLOOKUP($C149,tPartidos[MatchID],tPartidos[Jugado],"No")="Sí"),0,IF(AND($D149=_xlfn.XLOOKUP($C149,tPartidos[MatchID],tPartidos[GL_Real],""),$E149=_xlfn.XLOOKUP($C149,tPartidos[MatchID],tPartidos[GV_Real],"")),CONFIG!$C$5,IF(SIGN($D149-$E149)=SIGN(_xlfn.XLOOKUP($C149,tPartidos[MatchID],tPartidos[GL_Real],0)-_xlfn.XLOOKUP($C149,tPartidos[MatchID],tPartidos[GV_Real],0)),CONFIG!$C$6,0))))</f>
        <v/>
      </c>
    </row>
    <row r="150" spans="6:6">
      <c r="F150" t="str">
        <f>IF($C150="","",IF(NOT(_xlfn.XLOOKUP($C150,tPartidos[MatchID],tPartidos[Jugado],"No")="Sí"),0,IF(AND($D150=_xlfn.XLOOKUP($C150,tPartidos[MatchID],tPartidos[GL_Real],""),$E150=_xlfn.XLOOKUP($C150,tPartidos[MatchID],tPartidos[GV_Real],"")),CONFIG!$C$5,IF(SIGN($D150-$E150)=SIGN(_xlfn.XLOOKUP($C150,tPartidos[MatchID],tPartidos[GL_Real],0)-_xlfn.XLOOKUP($C150,tPartidos[MatchID],tPartidos[GV_Real],0)),CONFIG!$C$6,0))))</f>
        <v/>
      </c>
    </row>
    <row r="151" spans="6:6">
      <c r="F151" t="str">
        <f>IF($C151="","",IF(NOT(_xlfn.XLOOKUP($C151,tPartidos[MatchID],tPartidos[Jugado],"No")="Sí"),0,IF(AND($D151=_xlfn.XLOOKUP($C151,tPartidos[MatchID],tPartidos[GL_Real],""),$E151=_xlfn.XLOOKUP($C151,tPartidos[MatchID],tPartidos[GV_Real],"")),CONFIG!$C$5,IF(SIGN($D151-$E151)=SIGN(_xlfn.XLOOKUP($C151,tPartidos[MatchID],tPartidos[GL_Real],0)-_xlfn.XLOOKUP($C151,tPartidos[MatchID],tPartidos[GV_Real],0)),CONFIG!$C$6,0))))</f>
        <v/>
      </c>
    </row>
    <row r="152" spans="6:6">
      <c r="F152" t="str">
        <f>IF($C152="","",IF(NOT(_xlfn.XLOOKUP($C152,tPartidos[MatchID],tPartidos[Jugado],"No")="Sí"),0,IF(AND($D152=_xlfn.XLOOKUP($C152,tPartidos[MatchID],tPartidos[GL_Real],""),$E152=_xlfn.XLOOKUP($C152,tPartidos[MatchID],tPartidos[GV_Real],"")),CONFIG!$C$5,IF(SIGN($D152-$E152)=SIGN(_xlfn.XLOOKUP($C152,tPartidos[MatchID],tPartidos[GL_Real],0)-_xlfn.XLOOKUP($C152,tPartidos[MatchID],tPartidos[GV_Real],0)),CONFIG!$C$6,0))))</f>
        <v/>
      </c>
    </row>
    <row r="153" spans="6:6">
      <c r="F153" t="str">
        <f>IF($C153="","",IF(NOT(_xlfn.XLOOKUP($C153,tPartidos[MatchID],tPartidos[Jugado],"No")="Sí"),0,IF(AND($D153=_xlfn.XLOOKUP($C153,tPartidos[MatchID],tPartidos[GL_Real],""),$E153=_xlfn.XLOOKUP($C153,tPartidos[MatchID],tPartidos[GV_Real],"")),CONFIG!$C$5,IF(SIGN($D153-$E153)=SIGN(_xlfn.XLOOKUP($C153,tPartidos[MatchID],tPartidos[GL_Real],0)-_xlfn.XLOOKUP($C153,tPartidos[MatchID],tPartidos[GV_Real],0)),CONFIG!$C$6,0))))</f>
        <v/>
      </c>
    </row>
    <row r="154" spans="6:6">
      <c r="F154" t="str">
        <f>IF($C154="","",IF(NOT(_xlfn.XLOOKUP($C154,tPartidos[MatchID],tPartidos[Jugado],"No")="Sí"),0,IF(AND($D154=_xlfn.XLOOKUP($C154,tPartidos[MatchID],tPartidos[GL_Real],""),$E154=_xlfn.XLOOKUP($C154,tPartidos[MatchID],tPartidos[GV_Real],"")),CONFIG!$C$5,IF(SIGN($D154-$E154)=SIGN(_xlfn.XLOOKUP($C154,tPartidos[MatchID],tPartidos[GL_Real],0)-_xlfn.XLOOKUP($C154,tPartidos[MatchID],tPartidos[GV_Real],0)),CONFIG!$C$6,0))))</f>
        <v/>
      </c>
    </row>
    <row r="155" spans="6:6">
      <c r="F155" t="str">
        <f>IF($C155="","",IF(NOT(_xlfn.XLOOKUP($C155,tPartidos[MatchID],tPartidos[Jugado],"No")="Sí"),0,IF(AND($D155=_xlfn.XLOOKUP($C155,tPartidos[MatchID],tPartidos[GL_Real],""),$E155=_xlfn.XLOOKUP($C155,tPartidos[MatchID],tPartidos[GV_Real],"")),CONFIG!$C$5,IF(SIGN($D155-$E155)=SIGN(_xlfn.XLOOKUP($C155,tPartidos[MatchID],tPartidos[GL_Real],0)-_xlfn.XLOOKUP($C155,tPartidos[MatchID],tPartidos[GV_Real],0)),CONFIG!$C$6,0))))</f>
        <v/>
      </c>
    </row>
    <row r="156" spans="6:6">
      <c r="F156" t="str">
        <f>IF($C156="","",IF(NOT(_xlfn.XLOOKUP($C156,tPartidos[MatchID],tPartidos[Jugado],"No")="Sí"),0,IF(AND($D156=_xlfn.XLOOKUP($C156,tPartidos[MatchID],tPartidos[GL_Real],""),$E156=_xlfn.XLOOKUP($C156,tPartidos[MatchID],tPartidos[GV_Real],"")),CONFIG!$C$5,IF(SIGN($D156-$E156)=SIGN(_xlfn.XLOOKUP($C156,tPartidos[MatchID],tPartidos[GL_Real],0)-_xlfn.XLOOKUP($C156,tPartidos[MatchID],tPartidos[GV_Real],0)),CONFIG!$C$6,0))))</f>
        <v/>
      </c>
    </row>
    <row r="157" spans="6:6">
      <c r="F157" t="str">
        <f>IF($C157="","",IF(NOT(_xlfn.XLOOKUP($C157,tPartidos[MatchID],tPartidos[Jugado],"No")="Sí"),0,IF(AND($D157=_xlfn.XLOOKUP($C157,tPartidos[MatchID],tPartidos[GL_Real],""),$E157=_xlfn.XLOOKUP($C157,tPartidos[MatchID],tPartidos[GV_Real],"")),CONFIG!$C$5,IF(SIGN($D157-$E157)=SIGN(_xlfn.XLOOKUP($C157,tPartidos[MatchID],tPartidos[GL_Real],0)-_xlfn.XLOOKUP($C157,tPartidos[MatchID],tPartidos[GV_Real],0)),CONFIG!$C$6,0))))</f>
        <v/>
      </c>
    </row>
    <row r="158" spans="6:6">
      <c r="F158" t="str">
        <f>IF($C158="","",IF(NOT(_xlfn.XLOOKUP($C158,tPartidos[MatchID],tPartidos[Jugado],"No")="Sí"),0,IF(AND($D158=_xlfn.XLOOKUP($C158,tPartidos[MatchID],tPartidos[GL_Real],""),$E158=_xlfn.XLOOKUP($C158,tPartidos[MatchID],tPartidos[GV_Real],"")),CONFIG!$C$5,IF(SIGN($D158-$E158)=SIGN(_xlfn.XLOOKUP($C158,tPartidos[MatchID],tPartidos[GL_Real],0)-_xlfn.XLOOKUP($C158,tPartidos[MatchID],tPartidos[GV_Real],0)),CONFIG!$C$6,0))))</f>
        <v/>
      </c>
    </row>
    <row r="159" spans="6:6">
      <c r="F159" t="str">
        <f>IF($C159="","",IF(NOT(_xlfn.XLOOKUP($C159,tPartidos[MatchID],tPartidos[Jugado],"No")="Sí"),0,IF(AND($D159=_xlfn.XLOOKUP($C159,tPartidos[MatchID],tPartidos[GL_Real],""),$E159=_xlfn.XLOOKUP($C159,tPartidos[MatchID],tPartidos[GV_Real],"")),CONFIG!$C$5,IF(SIGN($D159-$E159)=SIGN(_xlfn.XLOOKUP($C159,tPartidos[MatchID],tPartidos[GL_Real],0)-_xlfn.XLOOKUP($C159,tPartidos[MatchID],tPartidos[GV_Real],0)),CONFIG!$C$6,0))))</f>
        <v/>
      </c>
    </row>
    <row r="160" spans="6:6">
      <c r="F160" t="str">
        <f>IF($C160="","",IF(NOT(_xlfn.XLOOKUP($C160,tPartidos[MatchID],tPartidos[Jugado],"No")="Sí"),0,IF(AND($D160=_xlfn.XLOOKUP($C160,tPartidos[MatchID],tPartidos[GL_Real],""),$E160=_xlfn.XLOOKUP($C160,tPartidos[MatchID],tPartidos[GV_Real],"")),CONFIG!$C$5,IF(SIGN($D160-$E160)=SIGN(_xlfn.XLOOKUP($C160,tPartidos[MatchID],tPartidos[GL_Real],0)-_xlfn.XLOOKUP($C160,tPartidos[MatchID],tPartidos[GV_Real],0)),CONFIG!$C$6,0))))</f>
        <v/>
      </c>
    </row>
    <row r="161" spans="6:6">
      <c r="F161" t="str">
        <f>IF($C161="","",IF(NOT(_xlfn.XLOOKUP($C161,tPartidos[MatchID],tPartidos[Jugado],"No")="Sí"),0,IF(AND($D161=_xlfn.XLOOKUP($C161,tPartidos[MatchID],tPartidos[GL_Real],""),$E161=_xlfn.XLOOKUP($C161,tPartidos[MatchID],tPartidos[GV_Real],"")),CONFIG!$C$5,IF(SIGN($D161-$E161)=SIGN(_xlfn.XLOOKUP($C161,tPartidos[MatchID],tPartidos[GL_Real],0)-_xlfn.XLOOKUP($C161,tPartidos[MatchID],tPartidos[GV_Real],0)),CONFIG!$C$6,0))))</f>
        <v/>
      </c>
    </row>
    <row r="162" spans="6:6">
      <c r="F162" t="str">
        <f>IF($C162="","",IF(NOT(_xlfn.XLOOKUP($C162,tPartidos[MatchID],tPartidos[Jugado],"No")="Sí"),0,IF(AND($D162=_xlfn.XLOOKUP($C162,tPartidos[MatchID],tPartidos[GL_Real],""),$E162=_xlfn.XLOOKUP($C162,tPartidos[MatchID],tPartidos[GV_Real],"")),CONFIG!$C$5,IF(SIGN($D162-$E162)=SIGN(_xlfn.XLOOKUP($C162,tPartidos[MatchID],tPartidos[GL_Real],0)-_xlfn.XLOOKUP($C162,tPartidos[MatchID],tPartidos[GV_Real],0)),CONFIG!$C$6,0))))</f>
        <v/>
      </c>
    </row>
    <row r="163" spans="6:6">
      <c r="F163" t="str">
        <f>IF($C163="","",IF(NOT(_xlfn.XLOOKUP($C163,tPartidos[MatchID],tPartidos[Jugado],"No")="Sí"),0,IF(AND($D163=_xlfn.XLOOKUP($C163,tPartidos[MatchID],tPartidos[GL_Real],""),$E163=_xlfn.XLOOKUP($C163,tPartidos[MatchID],tPartidos[GV_Real],"")),CONFIG!$C$5,IF(SIGN($D163-$E163)=SIGN(_xlfn.XLOOKUP($C163,tPartidos[MatchID],tPartidos[GL_Real],0)-_xlfn.XLOOKUP($C163,tPartidos[MatchID],tPartidos[GV_Real],0)),CONFIG!$C$6,0))))</f>
        <v/>
      </c>
    </row>
    <row r="164" spans="6:6">
      <c r="F164" t="str">
        <f>IF($C164="","",IF(NOT(_xlfn.XLOOKUP($C164,tPartidos[MatchID],tPartidos[Jugado],"No")="Sí"),0,IF(AND($D164=_xlfn.XLOOKUP($C164,tPartidos[MatchID],tPartidos[GL_Real],""),$E164=_xlfn.XLOOKUP($C164,tPartidos[MatchID],tPartidos[GV_Real],"")),CONFIG!$C$5,IF(SIGN($D164-$E164)=SIGN(_xlfn.XLOOKUP($C164,tPartidos[MatchID],tPartidos[GL_Real],0)-_xlfn.XLOOKUP($C164,tPartidos[MatchID],tPartidos[GV_Real],0)),CONFIG!$C$6,0))))</f>
        <v/>
      </c>
    </row>
    <row r="165" spans="6:6">
      <c r="F165" t="str">
        <f>IF($C165="","",IF(NOT(_xlfn.XLOOKUP($C165,tPartidos[MatchID],tPartidos[Jugado],"No")="Sí"),0,IF(AND($D165=_xlfn.XLOOKUP($C165,tPartidos[MatchID],tPartidos[GL_Real],""),$E165=_xlfn.XLOOKUP($C165,tPartidos[MatchID],tPartidos[GV_Real],"")),CONFIG!$C$5,IF(SIGN($D165-$E165)=SIGN(_xlfn.XLOOKUP($C165,tPartidos[MatchID],tPartidos[GL_Real],0)-_xlfn.XLOOKUP($C165,tPartidos[MatchID],tPartidos[GV_Real],0)),CONFIG!$C$6,0))))</f>
        <v/>
      </c>
    </row>
    <row r="166" spans="6:6">
      <c r="F166" t="str">
        <f>IF($C166="","",IF(NOT(_xlfn.XLOOKUP($C166,tPartidos[MatchID],tPartidos[Jugado],"No")="Sí"),0,IF(AND($D166=_xlfn.XLOOKUP($C166,tPartidos[MatchID],tPartidos[GL_Real],""),$E166=_xlfn.XLOOKUP($C166,tPartidos[MatchID],tPartidos[GV_Real],"")),CONFIG!$C$5,IF(SIGN($D166-$E166)=SIGN(_xlfn.XLOOKUP($C166,tPartidos[MatchID],tPartidos[GL_Real],0)-_xlfn.XLOOKUP($C166,tPartidos[MatchID],tPartidos[GV_Real],0)),CONFIG!$C$6,0))))</f>
        <v/>
      </c>
    </row>
    <row r="167" spans="6:6">
      <c r="F167" t="str">
        <f>IF($C167="","",IF(NOT(_xlfn.XLOOKUP($C167,tPartidos[MatchID],tPartidos[Jugado],"No")="Sí"),0,IF(AND($D167=_xlfn.XLOOKUP($C167,tPartidos[MatchID],tPartidos[GL_Real],""),$E167=_xlfn.XLOOKUP($C167,tPartidos[MatchID],tPartidos[GV_Real],"")),CONFIG!$C$5,IF(SIGN($D167-$E167)=SIGN(_xlfn.XLOOKUP($C167,tPartidos[MatchID],tPartidos[GL_Real],0)-_xlfn.XLOOKUP($C167,tPartidos[MatchID],tPartidos[GV_Real],0)),CONFIG!$C$6,0))))</f>
        <v/>
      </c>
    </row>
    <row r="168" spans="6:6">
      <c r="F168" t="str">
        <f>IF($C168="","",IF(NOT(_xlfn.XLOOKUP($C168,tPartidos[MatchID],tPartidos[Jugado],"No")="Sí"),0,IF(AND($D168=_xlfn.XLOOKUP($C168,tPartidos[MatchID],tPartidos[GL_Real],""),$E168=_xlfn.XLOOKUP($C168,tPartidos[MatchID],tPartidos[GV_Real],"")),CONFIG!$C$5,IF(SIGN($D168-$E168)=SIGN(_xlfn.XLOOKUP($C168,tPartidos[MatchID],tPartidos[GL_Real],0)-_xlfn.XLOOKUP($C168,tPartidos[MatchID],tPartidos[GV_Real],0)),CONFIG!$C$6,0))))</f>
        <v/>
      </c>
    </row>
    <row r="169" spans="6:6">
      <c r="F169" t="str">
        <f>IF($C169="","",IF(NOT(_xlfn.XLOOKUP($C169,tPartidos[MatchID],tPartidos[Jugado],"No")="Sí"),0,IF(AND($D169=_xlfn.XLOOKUP($C169,tPartidos[MatchID],tPartidos[GL_Real],""),$E169=_xlfn.XLOOKUP($C169,tPartidos[MatchID],tPartidos[GV_Real],"")),CONFIG!$C$5,IF(SIGN($D169-$E169)=SIGN(_xlfn.XLOOKUP($C169,tPartidos[MatchID],tPartidos[GL_Real],0)-_xlfn.XLOOKUP($C169,tPartidos[MatchID],tPartidos[GV_Real],0)),CONFIG!$C$6,0))))</f>
        <v/>
      </c>
    </row>
    <row r="170" spans="6:6">
      <c r="F170" t="str">
        <f>IF($C170="","",IF(NOT(_xlfn.XLOOKUP($C170,tPartidos[MatchID],tPartidos[Jugado],"No")="Sí"),0,IF(AND($D170=_xlfn.XLOOKUP($C170,tPartidos[MatchID],tPartidos[GL_Real],""),$E170=_xlfn.XLOOKUP($C170,tPartidos[MatchID],tPartidos[GV_Real],"")),CONFIG!$C$5,IF(SIGN($D170-$E170)=SIGN(_xlfn.XLOOKUP($C170,tPartidos[MatchID],tPartidos[GL_Real],0)-_xlfn.XLOOKUP($C170,tPartidos[MatchID],tPartidos[GV_Real],0)),CONFIG!$C$6,0))))</f>
        <v/>
      </c>
    </row>
    <row r="171" spans="6:6">
      <c r="F171" t="str">
        <f>IF($C171="","",IF(NOT(_xlfn.XLOOKUP($C171,tPartidos[MatchID],tPartidos[Jugado],"No")="Sí"),0,IF(AND($D171=_xlfn.XLOOKUP($C171,tPartidos[MatchID],tPartidos[GL_Real],""),$E171=_xlfn.XLOOKUP($C171,tPartidos[MatchID],tPartidos[GV_Real],"")),CONFIG!$C$5,IF(SIGN($D171-$E171)=SIGN(_xlfn.XLOOKUP($C171,tPartidos[MatchID],tPartidos[GL_Real],0)-_xlfn.XLOOKUP($C171,tPartidos[MatchID],tPartidos[GV_Real],0)),CONFIG!$C$6,0))))</f>
        <v/>
      </c>
    </row>
    <row r="172" spans="6:6">
      <c r="F172" t="str">
        <f>IF($C172="","",IF(NOT(_xlfn.XLOOKUP($C172,tPartidos[MatchID],tPartidos[Jugado],"No")="Sí"),0,IF(AND($D172=_xlfn.XLOOKUP($C172,tPartidos[MatchID],tPartidos[GL_Real],""),$E172=_xlfn.XLOOKUP($C172,tPartidos[MatchID],tPartidos[GV_Real],"")),CONFIG!$C$5,IF(SIGN($D172-$E172)=SIGN(_xlfn.XLOOKUP($C172,tPartidos[MatchID],tPartidos[GL_Real],0)-_xlfn.XLOOKUP($C172,tPartidos[MatchID],tPartidos[GV_Real],0)),CONFIG!$C$6,0))))</f>
        <v/>
      </c>
    </row>
    <row r="173" spans="6:6">
      <c r="F173" t="str">
        <f>IF($C173="","",IF(NOT(_xlfn.XLOOKUP($C173,tPartidos[MatchID],tPartidos[Jugado],"No")="Sí"),0,IF(AND($D173=_xlfn.XLOOKUP($C173,tPartidos[MatchID],tPartidos[GL_Real],""),$E173=_xlfn.XLOOKUP($C173,tPartidos[MatchID],tPartidos[GV_Real],"")),CONFIG!$C$5,IF(SIGN($D173-$E173)=SIGN(_xlfn.XLOOKUP($C173,tPartidos[MatchID],tPartidos[GL_Real],0)-_xlfn.XLOOKUP($C173,tPartidos[MatchID],tPartidos[GV_Real],0)),CONFIG!$C$6,0))))</f>
        <v/>
      </c>
    </row>
    <row r="174" spans="6:6">
      <c r="F174" t="str">
        <f>IF($C174="","",IF(NOT(_xlfn.XLOOKUP($C174,tPartidos[MatchID],tPartidos[Jugado],"No")="Sí"),0,IF(AND($D174=_xlfn.XLOOKUP($C174,tPartidos[MatchID],tPartidos[GL_Real],""),$E174=_xlfn.XLOOKUP($C174,tPartidos[MatchID],tPartidos[GV_Real],"")),CONFIG!$C$5,IF(SIGN($D174-$E174)=SIGN(_xlfn.XLOOKUP($C174,tPartidos[MatchID],tPartidos[GL_Real],0)-_xlfn.XLOOKUP($C174,tPartidos[MatchID],tPartidos[GV_Real],0)),CONFIG!$C$6,0))))</f>
        <v/>
      </c>
    </row>
    <row r="175" spans="6:6">
      <c r="F175" t="str">
        <f>IF($C175="","",IF(NOT(_xlfn.XLOOKUP($C175,tPartidos[MatchID],tPartidos[Jugado],"No")="Sí"),0,IF(AND($D175=_xlfn.XLOOKUP($C175,tPartidos[MatchID],tPartidos[GL_Real],""),$E175=_xlfn.XLOOKUP($C175,tPartidos[MatchID],tPartidos[GV_Real],"")),CONFIG!$C$5,IF(SIGN($D175-$E175)=SIGN(_xlfn.XLOOKUP($C175,tPartidos[MatchID],tPartidos[GL_Real],0)-_xlfn.XLOOKUP($C175,tPartidos[MatchID],tPartidos[GV_Real],0)),CONFIG!$C$6,0))))</f>
        <v/>
      </c>
    </row>
    <row r="176" spans="6:6">
      <c r="F176" t="str">
        <f>IF($C176="","",IF(NOT(_xlfn.XLOOKUP($C176,tPartidos[MatchID],tPartidos[Jugado],"No")="Sí"),0,IF(AND($D176=_xlfn.XLOOKUP($C176,tPartidos[MatchID],tPartidos[GL_Real],""),$E176=_xlfn.XLOOKUP($C176,tPartidos[MatchID],tPartidos[GV_Real],"")),CONFIG!$C$5,IF(SIGN($D176-$E176)=SIGN(_xlfn.XLOOKUP($C176,tPartidos[MatchID],tPartidos[GL_Real],0)-_xlfn.XLOOKUP($C176,tPartidos[MatchID],tPartidos[GV_Real],0)),CONFIG!$C$6,0))))</f>
        <v/>
      </c>
    </row>
    <row r="177" spans="6:6">
      <c r="F177" t="str">
        <f>IF($C177="","",IF(NOT(_xlfn.XLOOKUP($C177,tPartidos[MatchID],tPartidos[Jugado],"No")="Sí"),0,IF(AND($D177=_xlfn.XLOOKUP($C177,tPartidos[MatchID],tPartidos[GL_Real],""),$E177=_xlfn.XLOOKUP($C177,tPartidos[MatchID],tPartidos[GV_Real],"")),CONFIG!$C$5,IF(SIGN($D177-$E177)=SIGN(_xlfn.XLOOKUP($C177,tPartidos[MatchID],tPartidos[GL_Real],0)-_xlfn.XLOOKUP($C177,tPartidos[MatchID],tPartidos[GV_Real],0)),CONFIG!$C$6,0))))</f>
        <v/>
      </c>
    </row>
    <row r="178" spans="6:6">
      <c r="F178" t="str">
        <f>IF($C178="","",IF(NOT(_xlfn.XLOOKUP($C178,tPartidos[MatchID],tPartidos[Jugado],"No")="Sí"),0,IF(AND($D178=_xlfn.XLOOKUP($C178,tPartidos[MatchID],tPartidos[GL_Real],""),$E178=_xlfn.XLOOKUP($C178,tPartidos[MatchID],tPartidos[GV_Real],"")),CONFIG!$C$5,IF(SIGN($D178-$E178)=SIGN(_xlfn.XLOOKUP($C178,tPartidos[MatchID],tPartidos[GL_Real],0)-_xlfn.XLOOKUP($C178,tPartidos[MatchID],tPartidos[GV_Real],0)),CONFIG!$C$6,0))))</f>
        <v/>
      </c>
    </row>
    <row r="179" spans="6:6">
      <c r="F179" t="str">
        <f>IF($C179="","",IF(NOT(_xlfn.XLOOKUP($C179,tPartidos[MatchID],tPartidos[Jugado],"No")="Sí"),0,IF(AND($D179=_xlfn.XLOOKUP($C179,tPartidos[MatchID],tPartidos[GL_Real],""),$E179=_xlfn.XLOOKUP($C179,tPartidos[MatchID],tPartidos[GV_Real],"")),CONFIG!$C$5,IF(SIGN($D179-$E179)=SIGN(_xlfn.XLOOKUP($C179,tPartidos[MatchID],tPartidos[GL_Real],0)-_xlfn.XLOOKUP($C179,tPartidos[MatchID],tPartidos[GV_Real],0)),CONFIG!$C$6,0))))</f>
        <v/>
      </c>
    </row>
    <row r="180" spans="6:6">
      <c r="F180" t="str">
        <f>IF($C180="","",IF(NOT(_xlfn.XLOOKUP($C180,tPartidos[MatchID],tPartidos[Jugado],"No")="Sí"),0,IF(AND($D180=_xlfn.XLOOKUP($C180,tPartidos[MatchID],tPartidos[GL_Real],""),$E180=_xlfn.XLOOKUP($C180,tPartidos[MatchID],tPartidos[GV_Real],"")),CONFIG!$C$5,IF(SIGN($D180-$E180)=SIGN(_xlfn.XLOOKUP($C180,tPartidos[MatchID],tPartidos[GL_Real],0)-_xlfn.XLOOKUP($C180,tPartidos[MatchID],tPartidos[GV_Real],0)),CONFIG!$C$6,0))))</f>
        <v/>
      </c>
    </row>
    <row r="181" spans="6:6">
      <c r="F181" t="str">
        <f>IF($C181="","",IF(NOT(_xlfn.XLOOKUP($C181,tPartidos[MatchID],tPartidos[Jugado],"No")="Sí"),0,IF(AND($D181=_xlfn.XLOOKUP($C181,tPartidos[MatchID],tPartidos[GL_Real],""),$E181=_xlfn.XLOOKUP($C181,tPartidos[MatchID],tPartidos[GV_Real],"")),CONFIG!$C$5,IF(SIGN($D181-$E181)=SIGN(_xlfn.XLOOKUP($C181,tPartidos[MatchID],tPartidos[GL_Real],0)-_xlfn.XLOOKUP($C181,tPartidos[MatchID],tPartidos[GV_Real],0)),CONFIG!$C$6,0))))</f>
        <v/>
      </c>
    </row>
    <row r="182" spans="6:6">
      <c r="F182" t="str">
        <f>IF($C182="","",IF(NOT(_xlfn.XLOOKUP($C182,tPartidos[MatchID],tPartidos[Jugado],"No")="Sí"),0,IF(AND($D182=_xlfn.XLOOKUP($C182,tPartidos[MatchID],tPartidos[GL_Real],""),$E182=_xlfn.XLOOKUP($C182,tPartidos[MatchID],tPartidos[GV_Real],"")),CONFIG!$C$5,IF(SIGN($D182-$E182)=SIGN(_xlfn.XLOOKUP($C182,tPartidos[MatchID],tPartidos[GL_Real],0)-_xlfn.XLOOKUP($C182,tPartidos[MatchID],tPartidos[GV_Real],0)),CONFIG!$C$6,0))))</f>
        <v/>
      </c>
    </row>
    <row r="183" spans="6:6">
      <c r="F183" t="str">
        <f>IF($C183="","",IF(NOT(_xlfn.XLOOKUP($C183,tPartidos[MatchID],tPartidos[Jugado],"No")="Sí"),0,IF(AND($D183=_xlfn.XLOOKUP($C183,tPartidos[MatchID],tPartidos[GL_Real],""),$E183=_xlfn.XLOOKUP($C183,tPartidos[MatchID],tPartidos[GV_Real],"")),CONFIG!$C$5,IF(SIGN($D183-$E183)=SIGN(_xlfn.XLOOKUP($C183,tPartidos[MatchID],tPartidos[GL_Real],0)-_xlfn.XLOOKUP($C183,tPartidos[MatchID],tPartidos[GV_Real],0)),CONFIG!$C$6,0))))</f>
        <v/>
      </c>
    </row>
    <row r="184" spans="6:6">
      <c r="F184" t="str">
        <f>IF($C184="","",IF(NOT(_xlfn.XLOOKUP($C184,tPartidos[MatchID],tPartidos[Jugado],"No")="Sí"),0,IF(AND($D184=_xlfn.XLOOKUP($C184,tPartidos[MatchID],tPartidos[GL_Real],""),$E184=_xlfn.XLOOKUP($C184,tPartidos[MatchID],tPartidos[GV_Real],"")),CONFIG!$C$5,IF(SIGN($D184-$E184)=SIGN(_xlfn.XLOOKUP($C184,tPartidos[MatchID],tPartidos[GL_Real],0)-_xlfn.XLOOKUP($C184,tPartidos[MatchID],tPartidos[GV_Real],0)),CONFIG!$C$6,0))))</f>
        <v/>
      </c>
    </row>
    <row r="185" spans="6:6">
      <c r="F185" t="str">
        <f>IF($C185="","",IF(NOT(_xlfn.XLOOKUP($C185,tPartidos[MatchID],tPartidos[Jugado],"No")="Sí"),0,IF(AND($D185=_xlfn.XLOOKUP($C185,tPartidos[MatchID],tPartidos[GL_Real],""),$E185=_xlfn.XLOOKUP($C185,tPartidos[MatchID],tPartidos[GV_Real],"")),CONFIG!$C$5,IF(SIGN($D185-$E185)=SIGN(_xlfn.XLOOKUP($C185,tPartidos[MatchID],tPartidos[GL_Real],0)-_xlfn.XLOOKUP($C185,tPartidos[MatchID],tPartidos[GV_Real],0)),CONFIG!$C$6,0))))</f>
        <v/>
      </c>
    </row>
    <row r="186" spans="6:6">
      <c r="F186" t="str">
        <f>IF($C186="","",IF(NOT(_xlfn.XLOOKUP($C186,tPartidos[MatchID],tPartidos[Jugado],"No")="Sí"),0,IF(AND($D186=_xlfn.XLOOKUP($C186,tPartidos[MatchID],tPartidos[GL_Real],""),$E186=_xlfn.XLOOKUP($C186,tPartidos[MatchID],tPartidos[GV_Real],"")),CONFIG!$C$5,IF(SIGN($D186-$E186)=SIGN(_xlfn.XLOOKUP($C186,tPartidos[MatchID],tPartidos[GL_Real],0)-_xlfn.XLOOKUP($C186,tPartidos[MatchID],tPartidos[GV_Real],0)),CONFIG!$C$6,0))))</f>
        <v/>
      </c>
    </row>
    <row r="187" spans="6:6">
      <c r="F187" t="str">
        <f>IF($C187="","",IF(NOT(_xlfn.XLOOKUP($C187,tPartidos[MatchID],tPartidos[Jugado],"No")="Sí"),0,IF(AND($D187=_xlfn.XLOOKUP($C187,tPartidos[MatchID],tPartidos[GL_Real],""),$E187=_xlfn.XLOOKUP($C187,tPartidos[MatchID],tPartidos[GV_Real],"")),CONFIG!$C$5,IF(SIGN($D187-$E187)=SIGN(_xlfn.XLOOKUP($C187,tPartidos[MatchID],tPartidos[GL_Real],0)-_xlfn.XLOOKUP($C187,tPartidos[MatchID],tPartidos[GV_Real],0)),CONFIG!$C$6,0))))</f>
        <v/>
      </c>
    </row>
    <row r="188" spans="6:6">
      <c r="F188" t="str">
        <f>IF($C188="","",IF(NOT(_xlfn.XLOOKUP($C188,tPartidos[MatchID],tPartidos[Jugado],"No")="Sí"),0,IF(AND($D188=_xlfn.XLOOKUP($C188,tPartidos[MatchID],tPartidos[GL_Real],""),$E188=_xlfn.XLOOKUP($C188,tPartidos[MatchID],tPartidos[GV_Real],"")),CONFIG!$C$5,IF(SIGN($D188-$E188)=SIGN(_xlfn.XLOOKUP($C188,tPartidos[MatchID],tPartidos[GL_Real],0)-_xlfn.XLOOKUP($C188,tPartidos[MatchID],tPartidos[GV_Real],0)),CONFIG!$C$6,0))))</f>
        <v/>
      </c>
    </row>
    <row r="189" spans="6:6">
      <c r="F189" t="str">
        <f>IF($C189="","",IF(NOT(_xlfn.XLOOKUP($C189,tPartidos[MatchID],tPartidos[Jugado],"No")="Sí"),0,IF(AND($D189=_xlfn.XLOOKUP($C189,tPartidos[MatchID],tPartidos[GL_Real],""),$E189=_xlfn.XLOOKUP($C189,tPartidos[MatchID],tPartidos[GV_Real],"")),CONFIG!$C$5,IF(SIGN($D189-$E189)=SIGN(_xlfn.XLOOKUP($C189,tPartidos[MatchID],tPartidos[GL_Real],0)-_xlfn.XLOOKUP($C189,tPartidos[MatchID],tPartidos[GV_Real],0)),CONFIG!$C$6,0))))</f>
        <v/>
      </c>
    </row>
    <row r="190" spans="6:6">
      <c r="F190" t="str">
        <f>IF($C190="","",IF(NOT(_xlfn.XLOOKUP($C190,tPartidos[MatchID],tPartidos[Jugado],"No")="Sí"),0,IF(AND($D190=_xlfn.XLOOKUP($C190,tPartidos[MatchID],tPartidos[GL_Real],""),$E190=_xlfn.XLOOKUP($C190,tPartidos[MatchID],tPartidos[GV_Real],"")),CONFIG!$C$5,IF(SIGN($D190-$E190)=SIGN(_xlfn.XLOOKUP($C190,tPartidos[MatchID],tPartidos[GL_Real],0)-_xlfn.XLOOKUP($C190,tPartidos[MatchID],tPartidos[GV_Real],0)),CONFIG!$C$6,0))))</f>
        <v/>
      </c>
    </row>
    <row r="191" spans="6:6">
      <c r="F191" t="str">
        <f>IF($C191="","",IF(NOT(_xlfn.XLOOKUP($C191,tPartidos[MatchID],tPartidos[Jugado],"No")="Sí"),0,IF(AND($D191=_xlfn.XLOOKUP($C191,tPartidos[MatchID],tPartidos[GL_Real],""),$E191=_xlfn.XLOOKUP($C191,tPartidos[MatchID],tPartidos[GV_Real],"")),CONFIG!$C$5,IF(SIGN($D191-$E191)=SIGN(_xlfn.XLOOKUP($C191,tPartidos[MatchID],tPartidos[GL_Real],0)-_xlfn.XLOOKUP($C191,tPartidos[MatchID],tPartidos[GV_Real],0)),CONFIG!$C$6,0))))</f>
        <v/>
      </c>
    </row>
    <row r="192" spans="6:6">
      <c r="F192" t="str">
        <f>IF($C192="","",IF(NOT(_xlfn.XLOOKUP($C192,tPartidos[MatchID],tPartidos[Jugado],"No")="Sí"),0,IF(AND($D192=_xlfn.XLOOKUP($C192,tPartidos[MatchID],tPartidos[GL_Real],""),$E192=_xlfn.XLOOKUP($C192,tPartidos[MatchID],tPartidos[GV_Real],"")),CONFIG!$C$5,IF(SIGN($D192-$E192)=SIGN(_xlfn.XLOOKUP($C192,tPartidos[MatchID],tPartidos[GL_Real],0)-_xlfn.XLOOKUP($C192,tPartidos[MatchID],tPartidos[GV_Real],0)),CONFIG!$C$6,0))))</f>
        <v/>
      </c>
    </row>
    <row r="193" spans="6:6">
      <c r="F193" t="str">
        <f>IF($C193="","",IF(NOT(_xlfn.XLOOKUP($C193,tPartidos[MatchID],tPartidos[Jugado],"No")="Sí"),0,IF(AND($D193=_xlfn.XLOOKUP($C193,tPartidos[MatchID],tPartidos[GL_Real],""),$E193=_xlfn.XLOOKUP($C193,tPartidos[MatchID],tPartidos[GV_Real],"")),CONFIG!$C$5,IF(SIGN($D193-$E193)=SIGN(_xlfn.XLOOKUP($C193,tPartidos[MatchID],tPartidos[GL_Real],0)-_xlfn.XLOOKUP($C193,tPartidos[MatchID],tPartidos[GV_Real],0)),CONFIG!$C$6,0))))</f>
        <v/>
      </c>
    </row>
    <row r="194" spans="6:6">
      <c r="F194" t="str">
        <f>IF($C194="","",IF(NOT(_xlfn.XLOOKUP($C194,tPartidos[MatchID],tPartidos[Jugado],"No")="Sí"),0,IF(AND($D194=_xlfn.XLOOKUP($C194,tPartidos[MatchID],tPartidos[GL_Real],""),$E194=_xlfn.XLOOKUP($C194,tPartidos[MatchID],tPartidos[GV_Real],"")),CONFIG!$C$5,IF(SIGN($D194-$E194)=SIGN(_xlfn.XLOOKUP($C194,tPartidos[MatchID],tPartidos[GL_Real],0)-_xlfn.XLOOKUP($C194,tPartidos[MatchID],tPartidos[GV_Real],0)),CONFIG!$C$6,0))))</f>
        <v/>
      </c>
    </row>
    <row r="195" spans="6:6">
      <c r="F195" t="str">
        <f>IF($C195="","",IF(NOT(_xlfn.XLOOKUP($C195,tPartidos[MatchID],tPartidos[Jugado],"No")="Sí"),0,IF(AND($D195=_xlfn.XLOOKUP($C195,tPartidos[MatchID],tPartidos[GL_Real],""),$E195=_xlfn.XLOOKUP($C195,tPartidos[MatchID],tPartidos[GV_Real],"")),CONFIG!$C$5,IF(SIGN($D195-$E195)=SIGN(_xlfn.XLOOKUP($C195,tPartidos[MatchID],tPartidos[GL_Real],0)-_xlfn.XLOOKUP($C195,tPartidos[MatchID],tPartidos[GV_Real],0)),CONFIG!$C$6,0))))</f>
        <v/>
      </c>
    </row>
    <row r="196" spans="6:6">
      <c r="F196" t="str">
        <f>IF($C196="","",IF(NOT(_xlfn.XLOOKUP($C196,tPartidos[MatchID],tPartidos[Jugado],"No")="Sí"),0,IF(AND($D196=_xlfn.XLOOKUP($C196,tPartidos[MatchID],tPartidos[GL_Real],""),$E196=_xlfn.XLOOKUP($C196,tPartidos[MatchID],tPartidos[GV_Real],"")),CONFIG!$C$5,IF(SIGN($D196-$E196)=SIGN(_xlfn.XLOOKUP($C196,tPartidos[MatchID],tPartidos[GL_Real],0)-_xlfn.XLOOKUP($C196,tPartidos[MatchID],tPartidos[GV_Real],0)),CONFIG!$C$6,0))))</f>
        <v/>
      </c>
    </row>
    <row r="197" spans="6:6">
      <c r="F197" t="str">
        <f>IF($C197="","",IF(NOT(_xlfn.XLOOKUP($C197,tPartidos[MatchID],tPartidos[Jugado],"No")="Sí"),0,IF(AND($D197=_xlfn.XLOOKUP($C197,tPartidos[MatchID],tPartidos[GL_Real],""),$E197=_xlfn.XLOOKUP($C197,tPartidos[MatchID],tPartidos[GV_Real],"")),CONFIG!$C$5,IF(SIGN($D197-$E197)=SIGN(_xlfn.XLOOKUP($C197,tPartidos[MatchID],tPartidos[GL_Real],0)-_xlfn.XLOOKUP($C197,tPartidos[MatchID],tPartidos[GV_Real],0)),CONFIG!$C$6,0))))</f>
        <v/>
      </c>
    </row>
    <row r="198" spans="6:6">
      <c r="F198" t="str">
        <f>IF($C198="","",IF(NOT(_xlfn.XLOOKUP($C198,tPartidos[MatchID],tPartidos[Jugado],"No")="Sí"),0,IF(AND($D198=_xlfn.XLOOKUP($C198,tPartidos[MatchID],tPartidos[GL_Real],""),$E198=_xlfn.XLOOKUP($C198,tPartidos[MatchID],tPartidos[GV_Real],"")),CONFIG!$C$5,IF(SIGN($D198-$E198)=SIGN(_xlfn.XLOOKUP($C198,tPartidos[MatchID],tPartidos[GL_Real],0)-_xlfn.XLOOKUP($C198,tPartidos[MatchID],tPartidos[GV_Real],0)),CONFIG!$C$6,0))))</f>
        <v/>
      </c>
    </row>
    <row r="199" spans="6:6">
      <c r="F199" t="str">
        <f>IF($C199="","",IF(NOT(_xlfn.XLOOKUP($C199,tPartidos[MatchID],tPartidos[Jugado],"No")="Sí"),0,IF(AND($D199=_xlfn.XLOOKUP($C199,tPartidos[MatchID],tPartidos[GL_Real],""),$E199=_xlfn.XLOOKUP($C199,tPartidos[MatchID],tPartidos[GV_Real],"")),CONFIG!$C$5,IF(SIGN($D199-$E199)=SIGN(_xlfn.XLOOKUP($C199,tPartidos[MatchID],tPartidos[GL_Real],0)-_xlfn.XLOOKUP($C199,tPartidos[MatchID],tPartidos[GV_Real],0)),CONFIG!$C$6,0))))</f>
        <v/>
      </c>
    </row>
    <row r="200" spans="6:6">
      <c r="F200" t="str">
        <f>IF($C200="","",IF(NOT(_xlfn.XLOOKUP($C200,tPartidos[MatchID],tPartidos[Jugado],"No")="Sí"),0,IF(AND($D200=_xlfn.XLOOKUP($C200,tPartidos[MatchID],tPartidos[GL_Real],""),$E200=_xlfn.XLOOKUP($C200,tPartidos[MatchID],tPartidos[GV_Real],"")),CONFIG!$C$5,IF(SIGN($D200-$E200)=SIGN(_xlfn.XLOOKUP($C200,tPartidos[MatchID],tPartidos[GL_Real],0)-_xlfn.XLOOKUP($C200,tPartidos[MatchID],tPartidos[GV_Real],0)),CONFIG!$C$6,0))))</f>
        <v/>
      </c>
    </row>
    <row r="201" spans="6:6">
      <c r="F201" t="str">
        <f>IF($C201="","",IF(NOT(_xlfn.XLOOKUP($C201,tPartidos[MatchID],tPartidos[Jugado],"No")="Sí"),0,IF(AND($D201=_xlfn.XLOOKUP($C201,tPartidos[MatchID],tPartidos[GL_Real],""),$E201=_xlfn.XLOOKUP($C201,tPartidos[MatchID],tPartidos[GV_Real],"")),CONFIG!$C$5,IF(SIGN($D201-$E201)=SIGN(_xlfn.XLOOKUP($C201,tPartidos[MatchID],tPartidos[GL_Real],0)-_xlfn.XLOOKUP($C201,tPartidos[MatchID],tPartidos[GV_Real],0)),CONFIG!$C$6,0))))</f>
        <v/>
      </c>
    </row>
    <row r="202" spans="6:6">
      <c r="F202" t="str">
        <f>IF($C202="","",IF(NOT(_xlfn.XLOOKUP($C202,tPartidos[MatchID],tPartidos[Jugado],"No")="Sí"),0,IF(AND($D202=_xlfn.XLOOKUP($C202,tPartidos[MatchID],tPartidos[GL_Real],""),$E202=_xlfn.XLOOKUP($C202,tPartidos[MatchID],tPartidos[GV_Real],"")),CONFIG!$C$5,IF(SIGN($D202-$E202)=SIGN(_xlfn.XLOOKUP($C202,tPartidos[MatchID],tPartidos[GL_Real],0)-_xlfn.XLOOKUP($C202,tPartidos[MatchID],tPartidos[GV_Real],0)),CONFIG!$C$6,0))))</f>
        <v/>
      </c>
    </row>
    <row r="203" spans="6:6">
      <c r="F203" t="str">
        <f>IF($C203="","",IF(NOT(_xlfn.XLOOKUP($C203,tPartidos[MatchID],tPartidos[Jugado],"No")="Sí"),0,IF(AND($D203=_xlfn.XLOOKUP($C203,tPartidos[MatchID],tPartidos[GL_Real],""),$E203=_xlfn.XLOOKUP($C203,tPartidos[MatchID],tPartidos[GV_Real],"")),CONFIG!$C$5,IF(SIGN($D203-$E203)=SIGN(_xlfn.XLOOKUP($C203,tPartidos[MatchID],tPartidos[GL_Real],0)-_xlfn.XLOOKUP($C203,tPartidos[MatchID],tPartidos[GV_Real],0)),CONFIG!$C$6,0))))</f>
        <v/>
      </c>
    </row>
    <row r="204" spans="6:6">
      <c r="F204" t="str">
        <f>IF($C204="","",IF(NOT(_xlfn.XLOOKUP($C204,tPartidos[MatchID],tPartidos[Jugado],"No")="Sí"),0,IF(AND($D204=_xlfn.XLOOKUP($C204,tPartidos[MatchID],tPartidos[GL_Real],""),$E204=_xlfn.XLOOKUP($C204,tPartidos[MatchID],tPartidos[GV_Real],"")),CONFIG!$C$5,IF(SIGN($D204-$E204)=SIGN(_xlfn.XLOOKUP($C204,tPartidos[MatchID],tPartidos[GL_Real],0)-_xlfn.XLOOKUP($C204,tPartidos[MatchID],tPartidos[GV_Real],0)),CONFIG!$C$6,0))))</f>
        <v/>
      </c>
    </row>
    <row r="205" spans="6:6">
      <c r="F205" t="str">
        <f>IF($C205="","",IF(NOT(_xlfn.XLOOKUP($C205,tPartidos[MatchID],tPartidos[Jugado],"No")="Sí"),0,IF(AND($D205=_xlfn.XLOOKUP($C205,tPartidos[MatchID],tPartidos[GL_Real],""),$E205=_xlfn.XLOOKUP($C205,tPartidos[MatchID],tPartidos[GV_Real],"")),CONFIG!$C$5,IF(SIGN($D205-$E205)=SIGN(_xlfn.XLOOKUP($C205,tPartidos[MatchID],tPartidos[GL_Real],0)-_xlfn.XLOOKUP($C205,tPartidos[MatchID],tPartidos[GV_Real],0)),CONFIG!$C$6,0))))</f>
        <v/>
      </c>
    </row>
    <row r="206" spans="6:6">
      <c r="F206" t="str">
        <f>IF($C206="","",IF(NOT(_xlfn.XLOOKUP($C206,tPartidos[MatchID],tPartidos[Jugado],"No")="Sí"),0,IF(AND($D206=_xlfn.XLOOKUP($C206,tPartidos[MatchID],tPartidos[GL_Real],""),$E206=_xlfn.XLOOKUP($C206,tPartidos[MatchID],tPartidos[GV_Real],"")),CONFIG!$C$5,IF(SIGN($D206-$E206)=SIGN(_xlfn.XLOOKUP($C206,tPartidos[MatchID],tPartidos[GL_Real],0)-_xlfn.XLOOKUP($C206,tPartidos[MatchID],tPartidos[GV_Real],0)),CONFIG!$C$6,0))))</f>
        <v/>
      </c>
    </row>
    <row r="207" spans="6:6">
      <c r="F207" t="str">
        <f>IF($C207="","",IF(NOT(_xlfn.XLOOKUP($C207,tPartidos[MatchID],tPartidos[Jugado],"No")="Sí"),0,IF(AND($D207=_xlfn.XLOOKUP($C207,tPartidos[MatchID],tPartidos[GL_Real],""),$E207=_xlfn.XLOOKUP($C207,tPartidos[MatchID],tPartidos[GV_Real],"")),CONFIG!$C$5,IF(SIGN($D207-$E207)=SIGN(_xlfn.XLOOKUP($C207,tPartidos[MatchID],tPartidos[GL_Real],0)-_xlfn.XLOOKUP($C207,tPartidos[MatchID],tPartidos[GV_Real],0)),CONFIG!$C$6,0))))</f>
        <v/>
      </c>
    </row>
    <row r="208" spans="6:6">
      <c r="F208" t="str">
        <f>IF($C208="","",IF(NOT(_xlfn.XLOOKUP($C208,tPartidos[MatchID],tPartidos[Jugado],"No")="Sí"),0,IF(AND($D208=_xlfn.XLOOKUP($C208,tPartidos[MatchID],tPartidos[GL_Real],""),$E208=_xlfn.XLOOKUP($C208,tPartidos[MatchID],tPartidos[GV_Real],"")),CONFIG!$C$5,IF(SIGN($D208-$E208)=SIGN(_xlfn.XLOOKUP($C208,tPartidos[MatchID],tPartidos[GL_Real],0)-_xlfn.XLOOKUP($C208,tPartidos[MatchID],tPartidos[GV_Real],0)),CONFIG!$C$6,0))))</f>
        <v/>
      </c>
    </row>
    <row r="209" spans="6:6">
      <c r="F209" t="str">
        <f>IF($C209="","",IF(NOT(_xlfn.XLOOKUP($C209,tPartidos[MatchID],tPartidos[Jugado],"No")="Sí"),0,IF(AND($D209=_xlfn.XLOOKUP($C209,tPartidos[MatchID],tPartidos[GL_Real],""),$E209=_xlfn.XLOOKUP($C209,tPartidos[MatchID],tPartidos[GV_Real],"")),CONFIG!$C$5,IF(SIGN($D209-$E209)=SIGN(_xlfn.XLOOKUP($C209,tPartidos[MatchID],tPartidos[GL_Real],0)-_xlfn.XLOOKUP($C209,tPartidos[MatchID],tPartidos[GV_Real],0)),CONFIG!$C$6,0))))</f>
        <v/>
      </c>
    </row>
    <row r="210" spans="6:6">
      <c r="F210" t="str">
        <f>IF($C210="","",IF(NOT(_xlfn.XLOOKUP($C210,tPartidos[MatchID],tPartidos[Jugado],"No")="Sí"),0,IF(AND($D210=_xlfn.XLOOKUP($C210,tPartidos[MatchID],tPartidos[GL_Real],""),$E210=_xlfn.XLOOKUP($C210,tPartidos[MatchID],tPartidos[GV_Real],"")),CONFIG!$C$5,IF(SIGN($D210-$E210)=SIGN(_xlfn.XLOOKUP($C210,tPartidos[MatchID],tPartidos[GL_Real],0)-_xlfn.XLOOKUP($C210,tPartidos[MatchID],tPartidos[GV_Real],0)),CONFIG!$C$6,0))))</f>
        <v/>
      </c>
    </row>
    <row r="211" spans="6:6">
      <c r="F211" t="str">
        <f>IF($C211="","",IF(NOT(_xlfn.XLOOKUP($C211,tPartidos[MatchID],tPartidos[Jugado],"No")="Sí"),0,IF(AND($D211=_xlfn.XLOOKUP($C211,tPartidos[MatchID],tPartidos[GL_Real],""),$E211=_xlfn.XLOOKUP($C211,tPartidos[MatchID],tPartidos[GV_Real],"")),CONFIG!$C$5,IF(SIGN($D211-$E211)=SIGN(_xlfn.XLOOKUP($C211,tPartidos[MatchID],tPartidos[GL_Real],0)-_xlfn.XLOOKUP($C211,tPartidos[MatchID],tPartidos[GV_Real],0)),CONFIG!$C$6,0))))</f>
        <v/>
      </c>
    </row>
    <row r="212" spans="6:6">
      <c r="F212" t="str">
        <f>IF($C212="","",IF(NOT(_xlfn.XLOOKUP($C212,tPartidos[MatchID],tPartidos[Jugado],"No")="Sí"),0,IF(AND($D212=_xlfn.XLOOKUP($C212,tPartidos[MatchID],tPartidos[GL_Real],""),$E212=_xlfn.XLOOKUP($C212,tPartidos[MatchID],tPartidos[GV_Real],"")),CONFIG!$C$5,IF(SIGN($D212-$E212)=SIGN(_xlfn.XLOOKUP($C212,tPartidos[MatchID],tPartidos[GL_Real],0)-_xlfn.XLOOKUP($C212,tPartidos[MatchID],tPartidos[GV_Real],0)),CONFIG!$C$6,0))))</f>
        <v/>
      </c>
    </row>
    <row r="213" spans="6:6">
      <c r="F213" t="str">
        <f>IF($C213="","",IF(NOT(_xlfn.XLOOKUP($C213,tPartidos[MatchID],tPartidos[Jugado],"No")="Sí"),0,IF(AND($D213=_xlfn.XLOOKUP($C213,tPartidos[MatchID],tPartidos[GL_Real],""),$E213=_xlfn.XLOOKUP($C213,tPartidos[MatchID],tPartidos[GV_Real],"")),CONFIG!$C$5,IF(SIGN($D213-$E213)=SIGN(_xlfn.XLOOKUP($C213,tPartidos[MatchID],tPartidos[GL_Real],0)-_xlfn.XLOOKUP($C213,tPartidos[MatchID],tPartidos[GV_Real],0)),CONFIG!$C$6,0))))</f>
        <v/>
      </c>
    </row>
    <row r="214" spans="6:6">
      <c r="F214" t="str">
        <f>IF($C214="","",IF(NOT(_xlfn.XLOOKUP($C214,tPartidos[MatchID],tPartidos[Jugado],"No")="Sí"),0,IF(AND($D214=_xlfn.XLOOKUP($C214,tPartidos[MatchID],tPartidos[GL_Real],""),$E214=_xlfn.XLOOKUP($C214,tPartidos[MatchID],tPartidos[GV_Real],"")),CONFIG!$C$5,IF(SIGN($D214-$E214)=SIGN(_xlfn.XLOOKUP($C214,tPartidos[MatchID],tPartidos[GL_Real],0)-_xlfn.XLOOKUP($C214,tPartidos[MatchID],tPartidos[GV_Real],0)),CONFIG!$C$6,0))))</f>
        <v/>
      </c>
    </row>
    <row r="215" spans="6:6">
      <c r="F215" t="str">
        <f>IF($C215="","",IF(NOT(_xlfn.XLOOKUP($C215,tPartidos[MatchID],tPartidos[Jugado],"No")="Sí"),0,IF(AND($D215=_xlfn.XLOOKUP($C215,tPartidos[MatchID],tPartidos[GL_Real],""),$E215=_xlfn.XLOOKUP($C215,tPartidos[MatchID],tPartidos[GV_Real],"")),CONFIG!$C$5,IF(SIGN($D215-$E215)=SIGN(_xlfn.XLOOKUP($C215,tPartidos[MatchID],tPartidos[GL_Real],0)-_xlfn.XLOOKUP($C215,tPartidos[MatchID],tPartidos[GV_Real],0)),CONFIG!$C$6,0))))</f>
        <v/>
      </c>
    </row>
    <row r="216" spans="6:6">
      <c r="F216" t="str">
        <f>IF($C216="","",IF(NOT(_xlfn.XLOOKUP($C216,tPartidos[MatchID],tPartidos[Jugado],"No")="Sí"),0,IF(AND($D216=_xlfn.XLOOKUP($C216,tPartidos[MatchID],tPartidos[GL_Real],""),$E216=_xlfn.XLOOKUP($C216,tPartidos[MatchID],tPartidos[GV_Real],"")),CONFIG!$C$5,IF(SIGN($D216-$E216)=SIGN(_xlfn.XLOOKUP($C216,tPartidos[MatchID],tPartidos[GL_Real],0)-_xlfn.XLOOKUP($C216,tPartidos[MatchID],tPartidos[GV_Real],0)),CONFIG!$C$6,0))))</f>
        <v/>
      </c>
    </row>
    <row r="217" spans="6:6">
      <c r="F217" t="str">
        <f>IF($C217="","",IF(NOT(_xlfn.XLOOKUP($C217,tPartidos[MatchID],tPartidos[Jugado],"No")="Sí"),0,IF(AND($D217=_xlfn.XLOOKUP($C217,tPartidos[MatchID],tPartidos[GL_Real],""),$E217=_xlfn.XLOOKUP($C217,tPartidos[MatchID],tPartidos[GV_Real],"")),CONFIG!$C$5,IF(SIGN($D217-$E217)=SIGN(_xlfn.XLOOKUP($C217,tPartidos[MatchID],tPartidos[GL_Real],0)-_xlfn.XLOOKUP($C217,tPartidos[MatchID],tPartidos[GV_Real],0)),CONFIG!$C$6,0))))</f>
        <v/>
      </c>
    </row>
    <row r="218" spans="6:6">
      <c r="F218" t="str">
        <f>IF($C218="","",IF(NOT(_xlfn.XLOOKUP($C218,tPartidos[MatchID],tPartidos[Jugado],"No")="Sí"),0,IF(AND($D218=_xlfn.XLOOKUP($C218,tPartidos[MatchID],tPartidos[GL_Real],""),$E218=_xlfn.XLOOKUP($C218,tPartidos[MatchID],tPartidos[GV_Real],"")),CONFIG!$C$5,IF(SIGN($D218-$E218)=SIGN(_xlfn.XLOOKUP($C218,tPartidos[MatchID],tPartidos[GL_Real],0)-_xlfn.XLOOKUP($C218,tPartidos[MatchID],tPartidos[GV_Real],0)),CONFIG!$C$6,0))))</f>
        <v/>
      </c>
    </row>
    <row r="219" spans="6:6">
      <c r="F219" t="str">
        <f>IF($C219="","",IF(NOT(_xlfn.XLOOKUP($C219,tPartidos[MatchID],tPartidos[Jugado],"No")="Sí"),0,IF(AND($D219=_xlfn.XLOOKUP($C219,tPartidos[MatchID],tPartidos[GL_Real],""),$E219=_xlfn.XLOOKUP($C219,tPartidos[MatchID],tPartidos[GV_Real],"")),CONFIG!$C$5,IF(SIGN($D219-$E219)=SIGN(_xlfn.XLOOKUP($C219,tPartidos[MatchID],tPartidos[GL_Real],0)-_xlfn.XLOOKUP($C219,tPartidos[MatchID],tPartidos[GV_Real],0)),CONFIG!$C$6,0))))</f>
        <v/>
      </c>
    </row>
    <row r="220" spans="6:6">
      <c r="F220" t="str">
        <f>IF($C220="","",IF(NOT(_xlfn.XLOOKUP($C220,tPartidos[MatchID],tPartidos[Jugado],"No")="Sí"),0,IF(AND($D220=_xlfn.XLOOKUP($C220,tPartidos[MatchID],tPartidos[GL_Real],""),$E220=_xlfn.XLOOKUP($C220,tPartidos[MatchID],tPartidos[GV_Real],"")),CONFIG!$C$5,IF(SIGN($D220-$E220)=SIGN(_xlfn.XLOOKUP($C220,tPartidos[MatchID],tPartidos[GL_Real],0)-_xlfn.XLOOKUP($C220,tPartidos[MatchID],tPartidos[GV_Real],0)),CONFIG!$C$6,0))))</f>
        <v/>
      </c>
    </row>
    <row r="221" spans="6:6">
      <c r="F221" t="str">
        <f>IF($C221="","",IF(NOT(_xlfn.XLOOKUP($C221,tPartidos[MatchID],tPartidos[Jugado],"No")="Sí"),0,IF(AND($D221=_xlfn.XLOOKUP($C221,tPartidos[MatchID],tPartidos[GL_Real],""),$E221=_xlfn.XLOOKUP($C221,tPartidos[MatchID],tPartidos[GV_Real],"")),CONFIG!$C$5,IF(SIGN($D221-$E221)=SIGN(_xlfn.XLOOKUP($C221,tPartidos[MatchID],tPartidos[GL_Real],0)-_xlfn.XLOOKUP($C221,tPartidos[MatchID],tPartidos[GV_Real],0)),CONFIG!$C$6,0))))</f>
        <v/>
      </c>
    </row>
    <row r="222" spans="6:6">
      <c r="F222" t="str">
        <f>IF($C222="","",IF(NOT(_xlfn.XLOOKUP($C222,tPartidos[MatchID],tPartidos[Jugado],"No")="Sí"),0,IF(AND($D222=_xlfn.XLOOKUP($C222,tPartidos[MatchID],tPartidos[GL_Real],""),$E222=_xlfn.XLOOKUP($C222,tPartidos[MatchID],tPartidos[GV_Real],"")),CONFIG!$C$5,IF(SIGN($D222-$E222)=SIGN(_xlfn.XLOOKUP($C222,tPartidos[MatchID],tPartidos[GL_Real],0)-_xlfn.XLOOKUP($C222,tPartidos[MatchID],tPartidos[GV_Real],0)),CONFIG!$C$6,0))))</f>
        <v/>
      </c>
    </row>
    <row r="223" spans="6:6">
      <c r="F223" t="str">
        <f>IF($C223="","",IF(NOT(_xlfn.XLOOKUP($C223,tPartidos[MatchID],tPartidos[Jugado],"No")="Sí"),0,IF(AND($D223=_xlfn.XLOOKUP($C223,tPartidos[MatchID],tPartidos[GL_Real],""),$E223=_xlfn.XLOOKUP($C223,tPartidos[MatchID],tPartidos[GV_Real],"")),CONFIG!$C$5,IF(SIGN($D223-$E223)=SIGN(_xlfn.XLOOKUP($C223,tPartidos[MatchID],tPartidos[GL_Real],0)-_xlfn.XLOOKUP($C223,tPartidos[MatchID],tPartidos[GV_Real],0)),CONFIG!$C$6,0))))</f>
        <v/>
      </c>
    </row>
    <row r="224" spans="6:6">
      <c r="F224" t="str">
        <f>IF($C224="","",IF(NOT(_xlfn.XLOOKUP($C224,tPartidos[MatchID],tPartidos[Jugado],"No")="Sí"),0,IF(AND($D224=_xlfn.XLOOKUP($C224,tPartidos[MatchID],tPartidos[GL_Real],""),$E224=_xlfn.XLOOKUP($C224,tPartidos[MatchID],tPartidos[GV_Real],"")),CONFIG!$C$5,IF(SIGN($D224-$E224)=SIGN(_xlfn.XLOOKUP($C224,tPartidos[MatchID],tPartidos[GL_Real],0)-_xlfn.XLOOKUP($C224,tPartidos[MatchID],tPartidos[GV_Real],0)),CONFIG!$C$6,0))))</f>
        <v/>
      </c>
    </row>
    <row r="225" spans="6:6">
      <c r="F225" t="str">
        <f>IF($C225="","",IF(NOT(_xlfn.XLOOKUP($C225,tPartidos[MatchID],tPartidos[Jugado],"No")="Sí"),0,IF(AND($D225=_xlfn.XLOOKUP($C225,tPartidos[MatchID],tPartidos[GL_Real],""),$E225=_xlfn.XLOOKUP($C225,tPartidos[MatchID],tPartidos[GV_Real],"")),CONFIG!$C$5,IF(SIGN($D225-$E225)=SIGN(_xlfn.XLOOKUP($C225,tPartidos[MatchID],tPartidos[GL_Real],0)-_xlfn.XLOOKUP($C225,tPartidos[MatchID],tPartidos[GV_Real],0)),CONFIG!$C$6,0))))</f>
        <v/>
      </c>
    </row>
    <row r="226" spans="6:6">
      <c r="F226" t="str">
        <f>IF($C226="","",IF(NOT(_xlfn.XLOOKUP($C226,tPartidos[MatchID],tPartidos[Jugado],"No")="Sí"),0,IF(AND($D226=_xlfn.XLOOKUP($C226,tPartidos[MatchID],tPartidos[GL_Real],""),$E226=_xlfn.XLOOKUP($C226,tPartidos[MatchID],tPartidos[GV_Real],"")),CONFIG!$C$5,IF(SIGN($D226-$E226)=SIGN(_xlfn.XLOOKUP($C226,tPartidos[MatchID],tPartidos[GL_Real],0)-_xlfn.XLOOKUP($C226,tPartidos[MatchID],tPartidos[GV_Real],0)),CONFIG!$C$6,0))))</f>
        <v/>
      </c>
    </row>
    <row r="227" spans="6:6">
      <c r="F227" t="str">
        <f>IF($C227="","",IF(NOT(_xlfn.XLOOKUP($C227,tPartidos[MatchID],tPartidos[Jugado],"No")="Sí"),0,IF(AND($D227=_xlfn.XLOOKUP($C227,tPartidos[MatchID],tPartidos[GL_Real],""),$E227=_xlfn.XLOOKUP($C227,tPartidos[MatchID],tPartidos[GV_Real],"")),CONFIG!$C$5,IF(SIGN($D227-$E227)=SIGN(_xlfn.XLOOKUP($C227,tPartidos[MatchID],tPartidos[GL_Real],0)-_xlfn.XLOOKUP($C227,tPartidos[MatchID],tPartidos[GV_Real],0)),CONFIG!$C$6,0))))</f>
        <v/>
      </c>
    </row>
    <row r="228" spans="6:6">
      <c r="F228" t="str">
        <f>IF($C228="","",IF(NOT(_xlfn.XLOOKUP($C228,tPartidos[MatchID],tPartidos[Jugado],"No")="Sí"),0,IF(AND($D228=_xlfn.XLOOKUP($C228,tPartidos[MatchID],tPartidos[GL_Real],""),$E228=_xlfn.XLOOKUP($C228,tPartidos[MatchID],tPartidos[GV_Real],"")),CONFIG!$C$5,IF(SIGN($D228-$E228)=SIGN(_xlfn.XLOOKUP($C228,tPartidos[MatchID],tPartidos[GL_Real],0)-_xlfn.XLOOKUP($C228,tPartidos[MatchID],tPartidos[GV_Real],0)),CONFIG!$C$6,0))))</f>
        <v/>
      </c>
    </row>
    <row r="229" spans="6:6">
      <c r="F229" t="str">
        <f>IF($C229="","",IF(NOT(_xlfn.XLOOKUP($C229,tPartidos[MatchID],tPartidos[Jugado],"No")="Sí"),0,IF(AND($D229=_xlfn.XLOOKUP($C229,tPartidos[MatchID],tPartidos[GL_Real],""),$E229=_xlfn.XLOOKUP($C229,tPartidos[MatchID],tPartidos[GV_Real],"")),CONFIG!$C$5,IF(SIGN($D229-$E229)=SIGN(_xlfn.XLOOKUP($C229,tPartidos[MatchID],tPartidos[GL_Real],0)-_xlfn.XLOOKUP($C229,tPartidos[MatchID],tPartidos[GV_Real],0)),CONFIG!$C$6,0))))</f>
        <v/>
      </c>
    </row>
    <row r="230" spans="6:6">
      <c r="F230" t="str">
        <f>IF($C230="","",IF(NOT(_xlfn.XLOOKUP($C230,tPartidos[MatchID],tPartidos[Jugado],"No")="Sí"),0,IF(AND($D230=_xlfn.XLOOKUP($C230,tPartidos[MatchID],tPartidos[GL_Real],""),$E230=_xlfn.XLOOKUP($C230,tPartidos[MatchID],tPartidos[GV_Real],"")),CONFIG!$C$5,IF(SIGN($D230-$E230)=SIGN(_xlfn.XLOOKUP($C230,tPartidos[MatchID],tPartidos[GL_Real],0)-_xlfn.XLOOKUP($C230,tPartidos[MatchID],tPartidos[GV_Real],0)),CONFIG!$C$6,0))))</f>
        <v/>
      </c>
    </row>
    <row r="231" spans="6:6">
      <c r="F231" t="str">
        <f>IF($C231="","",IF(NOT(_xlfn.XLOOKUP($C231,tPartidos[MatchID],tPartidos[Jugado],"No")="Sí"),0,IF(AND($D231=_xlfn.XLOOKUP($C231,tPartidos[MatchID],tPartidos[GL_Real],""),$E231=_xlfn.XLOOKUP($C231,tPartidos[MatchID],tPartidos[GV_Real],"")),CONFIG!$C$5,IF(SIGN($D231-$E231)=SIGN(_xlfn.XLOOKUP($C231,tPartidos[MatchID],tPartidos[GL_Real],0)-_xlfn.XLOOKUP($C231,tPartidos[MatchID],tPartidos[GV_Real],0)),CONFIG!$C$6,0))))</f>
        <v/>
      </c>
    </row>
    <row r="232" spans="6:6">
      <c r="F232" t="str">
        <f>IF($C232="","",IF(NOT(_xlfn.XLOOKUP($C232,tPartidos[MatchID],tPartidos[Jugado],"No")="Sí"),0,IF(AND($D232=_xlfn.XLOOKUP($C232,tPartidos[MatchID],tPartidos[GL_Real],""),$E232=_xlfn.XLOOKUP($C232,tPartidos[MatchID],tPartidos[GV_Real],"")),CONFIG!$C$5,IF(SIGN($D232-$E232)=SIGN(_xlfn.XLOOKUP($C232,tPartidos[MatchID],tPartidos[GL_Real],0)-_xlfn.XLOOKUP($C232,tPartidos[MatchID],tPartidos[GV_Real],0)),CONFIG!$C$6,0))))</f>
        <v/>
      </c>
    </row>
    <row r="233" spans="6:6">
      <c r="F233" t="str">
        <f>IF($C233="","",IF(NOT(_xlfn.XLOOKUP($C233,tPartidos[MatchID],tPartidos[Jugado],"No")="Sí"),0,IF(AND($D233=_xlfn.XLOOKUP($C233,tPartidos[MatchID],tPartidos[GL_Real],""),$E233=_xlfn.XLOOKUP($C233,tPartidos[MatchID],tPartidos[GV_Real],"")),CONFIG!$C$5,IF(SIGN($D233-$E233)=SIGN(_xlfn.XLOOKUP($C233,tPartidos[MatchID],tPartidos[GL_Real],0)-_xlfn.XLOOKUP($C233,tPartidos[MatchID],tPartidos[GV_Real],0)),CONFIG!$C$6,0))))</f>
        <v/>
      </c>
    </row>
    <row r="234" spans="6:6">
      <c r="F234" t="str">
        <f>IF($C234="","",IF(NOT(_xlfn.XLOOKUP($C234,tPartidos[MatchID],tPartidos[Jugado],"No")="Sí"),0,IF(AND($D234=_xlfn.XLOOKUP($C234,tPartidos[MatchID],tPartidos[GL_Real],""),$E234=_xlfn.XLOOKUP($C234,tPartidos[MatchID],tPartidos[GV_Real],"")),CONFIG!$C$5,IF(SIGN($D234-$E234)=SIGN(_xlfn.XLOOKUP($C234,tPartidos[MatchID],tPartidos[GL_Real],0)-_xlfn.XLOOKUP($C234,tPartidos[MatchID],tPartidos[GV_Real],0)),CONFIG!$C$6,0))))</f>
        <v/>
      </c>
    </row>
    <row r="235" spans="6:6">
      <c r="F235" t="str">
        <f>IF($C235="","",IF(NOT(_xlfn.XLOOKUP($C235,tPartidos[MatchID],tPartidos[Jugado],"No")="Sí"),0,IF(AND($D235=_xlfn.XLOOKUP($C235,tPartidos[MatchID],tPartidos[GL_Real],""),$E235=_xlfn.XLOOKUP($C235,tPartidos[MatchID],tPartidos[GV_Real],"")),CONFIG!$C$5,IF(SIGN($D235-$E235)=SIGN(_xlfn.XLOOKUP($C235,tPartidos[MatchID],tPartidos[GL_Real],0)-_xlfn.XLOOKUP($C235,tPartidos[MatchID],tPartidos[GV_Real],0)),CONFIG!$C$6,0))))</f>
        <v/>
      </c>
    </row>
    <row r="236" spans="6:6">
      <c r="F236" t="str">
        <f>IF($C236="","",IF(NOT(_xlfn.XLOOKUP($C236,tPartidos[MatchID],tPartidos[Jugado],"No")="Sí"),0,IF(AND($D236=_xlfn.XLOOKUP($C236,tPartidos[MatchID],tPartidos[GL_Real],""),$E236=_xlfn.XLOOKUP($C236,tPartidos[MatchID],tPartidos[GV_Real],"")),CONFIG!$C$5,IF(SIGN($D236-$E236)=SIGN(_xlfn.XLOOKUP($C236,tPartidos[MatchID],tPartidos[GL_Real],0)-_xlfn.XLOOKUP($C236,tPartidos[MatchID],tPartidos[GV_Real],0)),CONFIG!$C$6,0))))</f>
        <v/>
      </c>
    </row>
    <row r="237" spans="6:6">
      <c r="F237" t="str">
        <f>IF($C237="","",IF(NOT(_xlfn.XLOOKUP($C237,tPartidos[MatchID],tPartidos[Jugado],"No")="Sí"),0,IF(AND($D237=_xlfn.XLOOKUP($C237,tPartidos[MatchID],tPartidos[GL_Real],""),$E237=_xlfn.XLOOKUP($C237,tPartidos[MatchID],tPartidos[GV_Real],"")),CONFIG!$C$5,IF(SIGN($D237-$E237)=SIGN(_xlfn.XLOOKUP($C237,tPartidos[MatchID],tPartidos[GL_Real],0)-_xlfn.XLOOKUP($C237,tPartidos[MatchID],tPartidos[GV_Real],0)),CONFIG!$C$6,0))))</f>
        <v/>
      </c>
    </row>
    <row r="238" spans="6:6">
      <c r="F238" t="str">
        <f>IF($C238="","",IF(NOT(_xlfn.XLOOKUP($C238,tPartidos[MatchID],tPartidos[Jugado],"No")="Sí"),0,IF(AND($D238=_xlfn.XLOOKUP($C238,tPartidos[MatchID],tPartidos[GL_Real],""),$E238=_xlfn.XLOOKUP($C238,tPartidos[MatchID],tPartidos[GV_Real],"")),CONFIG!$C$5,IF(SIGN($D238-$E238)=SIGN(_xlfn.XLOOKUP($C238,tPartidos[MatchID],tPartidos[GL_Real],0)-_xlfn.XLOOKUP($C238,tPartidos[MatchID],tPartidos[GV_Real],0)),CONFIG!$C$6,0))))</f>
        <v/>
      </c>
    </row>
    <row r="239" spans="6:6">
      <c r="F239" t="str">
        <f>IF($C239="","",IF(NOT(_xlfn.XLOOKUP($C239,tPartidos[MatchID],tPartidos[Jugado],"No")="Sí"),0,IF(AND($D239=_xlfn.XLOOKUP($C239,tPartidos[MatchID],tPartidos[GL_Real],""),$E239=_xlfn.XLOOKUP($C239,tPartidos[MatchID],tPartidos[GV_Real],"")),CONFIG!$C$5,IF(SIGN($D239-$E239)=SIGN(_xlfn.XLOOKUP($C239,tPartidos[MatchID],tPartidos[GL_Real],0)-_xlfn.XLOOKUP($C239,tPartidos[MatchID],tPartidos[GV_Real],0)),CONFIG!$C$6,0))))</f>
        <v/>
      </c>
    </row>
    <row r="240" spans="6:6">
      <c r="F240" t="str">
        <f>IF($C240="","",IF(NOT(_xlfn.XLOOKUP($C240,tPartidos[MatchID],tPartidos[Jugado],"No")="Sí"),0,IF(AND($D240=_xlfn.XLOOKUP($C240,tPartidos[MatchID],tPartidos[GL_Real],""),$E240=_xlfn.XLOOKUP($C240,tPartidos[MatchID],tPartidos[GV_Real],"")),CONFIG!$C$5,IF(SIGN($D240-$E240)=SIGN(_xlfn.XLOOKUP($C240,tPartidos[MatchID],tPartidos[GL_Real],0)-_xlfn.XLOOKUP($C240,tPartidos[MatchID],tPartidos[GV_Real],0)),CONFIG!$C$6,0))))</f>
        <v/>
      </c>
    </row>
    <row r="241" spans="6:6">
      <c r="F241" t="str">
        <f>IF($C241="","",IF(NOT(_xlfn.XLOOKUP($C241,tPartidos[MatchID],tPartidos[Jugado],"No")="Sí"),0,IF(AND($D241=_xlfn.XLOOKUP($C241,tPartidos[MatchID],tPartidos[GL_Real],""),$E241=_xlfn.XLOOKUP($C241,tPartidos[MatchID],tPartidos[GV_Real],"")),CONFIG!$C$5,IF(SIGN($D241-$E241)=SIGN(_xlfn.XLOOKUP($C241,tPartidos[MatchID],tPartidos[GL_Real],0)-_xlfn.XLOOKUP($C241,tPartidos[MatchID],tPartidos[GV_Real],0)),CONFIG!$C$6,0))))</f>
        <v/>
      </c>
    </row>
    <row r="242" spans="6:6">
      <c r="F242" t="str">
        <f>IF($C242="","",IF(NOT(_xlfn.XLOOKUP($C242,tPartidos[MatchID],tPartidos[Jugado],"No")="Sí"),0,IF(AND($D242=_xlfn.XLOOKUP($C242,tPartidos[MatchID],tPartidos[GL_Real],""),$E242=_xlfn.XLOOKUP($C242,tPartidos[MatchID],tPartidos[GV_Real],"")),CONFIG!$C$5,IF(SIGN($D242-$E242)=SIGN(_xlfn.XLOOKUP($C242,tPartidos[MatchID],tPartidos[GL_Real],0)-_xlfn.XLOOKUP($C242,tPartidos[MatchID],tPartidos[GV_Real],0)),CONFIG!$C$6,0))))</f>
        <v/>
      </c>
    </row>
    <row r="243" spans="6:6">
      <c r="F243" t="str">
        <f>IF($C243="","",IF(NOT(_xlfn.XLOOKUP($C243,tPartidos[MatchID],tPartidos[Jugado],"No")="Sí"),0,IF(AND($D243=_xlfn.XLOOKUP($C243,tPartidos[MatchID],tPartidos[GL_Real],""),$E243=_xlfn.XLOOKUP($C243,tPartidos[MatchID],tPartidos[GV_Real],"")),CONFIG!$C$5,IF(SIGN($D243-$E243)=SIGN(_xlfn.XLOOKUP($C243,tPartidos[MatchID],tPartidos[GL_Real],0)-_xlfn.XLOOKUP($C243,tPartidos[MatchID],tPartidos[GV_Real],0)),CONFIG!$C$6,0))))</f>
        <v/>
      </c>
    </row>
    <row r="244" spans="6:6">
      <c r="F244" t="str">
        <f>IF($C244="","",IF(NOT(_xlfn.XLOOKUP($C244,tPartidos[MatchID],tPartidos[Jugado],"No")="Sí"),0,IF(AND($D244=_xlfn.XLOOKUP($C244,tPartidos[MatchID],tPartidos[GL_Real],""),$E244=_xlfn.XLOOKUP($C244,tPartidos[MatchID],tPartidos[GV_Real],"")),CONFIG!$C$5,IF(SIGN($D244-$E244)=SIGN(_xlfn.XLOOKUP($C244,tPartidos[MatchID],tPartidos[GL_Real],0)-_xlfn.XLOOKUP($C244,tPartidos[MatchID],tPartidos[GV_Real],0)),CONFIG!$C$6,0))))</f>
        <v/>
      </c>
    </row>
    <row r="245" spans="6:6">
      <c r="F245" t="str">
        <f>IF($C245="","",IF(NOT(_xlfn.XLOOKUP($C245,tPartidos[MatchID],tPartidos[Jugado],"No")="Sí"),0,IF(AND($D245=_xlfn.XLOOKUP($C245,tPartidos[MatchID],tPartidos[GL_Real],""),$E245=_xlfn.XLOOKUP($C245,tPartidos[MatchID],tPartidos[GV_Real],"")),CONFIG!$C$5,IF(SIGN($D245-$E245)=SIGN(_xlfn.XLOOKUP($C245,tPartidos[MatchID],tPartidos[GL_Real],0)-_xlfn.XLOOKUP($C245,tPartidos[MatchID],tPartidos[GV_Real],0)),CONFIG!$C$6,0))))</f>
        <v/>
      </c>
    </row>
    <row r="246" spans="6:6">
      <c r="F246" t="str">
        <f>IF($C246="","",IF(NOT(_xlfn.XLOOKUP($C246,tPartidos[MatchID],tPartidos[Jugado],"No")="Sí"),0,IF(AND($D246=_xlfn.XLOOKUP($C246,tPartidos[MatchID],tPartidos[GL_Real],""),$E246=_xlfn.XLOOKUP($C246,tPartidos[MatchID],tPartidos[GV_Real],"")),CONFIG!$C$5,IF(SIGN($D246-$E246)=SIGN(_xlfn.XLOOKUP($C246,tPartidos[MatchID],tPartidos[GL_Real],0)-_xlfn.XLOOKUP($C246,tPartidos[MatchID],tPartidos[GV_Real],0)),CONFIG!$C$6,0))))</f>
        <v/>
      </c>
    </row>
    <row r="247" spans="6:6">
      <c r="F247" t="str">
        <f>IF($C247="","",IF(NOT(_xlfn.XLOOKUP($C247,tPartidos[MatchID],tPartidos[Jugado],"No")="Sí"),0,IF(AND($D247=_xlfn.XLOOKUP($C247,tPartidos[MatchID],tPartidos[GL_Real],""),$E247=_xlfn.XLOOKUP($C247,tPartidos[MatchID],tPartidos[GV_Real],"")),CONFIG!$C$5,IF(SIGN($D247-$E247)=SIGN(_xlfn.XLOOKUP($C247,tPartidos[MatchID],tPartidos[GL_Real],0)-_xlfn.XLOOKUP($C247,tPartidos[MatchID],tPartidos[GV_Real],0)),CONFIG!$C$6,0))))</f>
        <v/>
      </c>
    </row>
    <row r="248" spans="6:6">
      <c r="F248" t="str">
        <f>IF($C248="","",IF(NOT(_xlfn.XLOOKUP($C248,tPartidos[MatchID],tPartidos[Jugado],"No")="Sí"),0,IF(AND($D248=_xlfn.XLOOKUP($C248,tPartidos[MatchID],tPartidos[GL_Real],""),$E248=_xlfn.XLOOKUP($C248,tPartidos[MatchID],tPartidos[GV_Real],"")),CONFIG!$C$5,IF(SIGN($D248-$E248)=SIGN(_xlfn.XLOOKUP($C248,tPartidos[MatchID],tPartidos[GL_Real],0)-_xlfn.XLOOKUP($C248,tPartidos[MatchID],tPartidos[GV_Real],0)),CONFIG!$C$6,0))))</f>
        <v/>
      </c>
    </row>
    <row r="249" spans="6:6">
      <c r="F249" t="str">
        <f>IF($C249="","",IF(NOT(_xlfn.XLOOKUP($C249,tPartidos[MatchID],tPartidos[Jugado],"No")="Sí"),0,IF(AND($D249=_xlfn.XLOOKUP($C249,tPartidos[MatchID],tPartidos[GL_Real],""),$E249=_xlfn.XLOOKUP($C249,tPartidos[MatchID],tPartidos[GV_Real],"")),CONFIG!$C$5,IF(SIGN($D249-$E249)=SIGN(_xlfn.XLOOKUP($C249,tPartidos[MatchID],tPartidos[GL_Real],0)-_xlfn.XLOOKUP($C249,tPartidos[MatchID],tPartidos[GV_Real],0)),CONFIG!$C$6,0))))</f>
        <v/>
      </c>
    </row>
    <row r="250" spans="6:6">
      <c r="F250" t="str">
        <f>IF($C250="","",IF(NOT(_xlfn.XLOOKUP($C250,tPartidos[MatchID],tPartidos[Jugado],"No")="Sí"),0,IF(AND($D250=_xlfn.XLOOKUP($C250,tPartidos[MatchID],tPartidos[GL_Real],""),$E250=_xlfn.XLOOKUP($C250,tPartidos[MatchID],tPartidos[GV_Real],"")),CONFIG!$C$5,IF(SIGN($D250-$E250)=SIGN(_xlfn.XLOOKUP($C250,tPartidos[MatchID],tPartidos[GL_Real],0)-_xlfn.XLOOKUP($C250,tPartidos[MatchID],tPartidos[GV_Real],0)),CONFIG!$C$6,0))))</f>
        <v/>
      </c>
    </row>
    <row r="251" spans="6:6">
      <c r="F251" t="str">
        <f>IF($C251="","",IF(NOT(_xlfn.XLOOKUP($C251,tPartidos[MatchID],tPartidos[Jugado],"No")="Sí"),0,IF(AND($D251=_xlfn.XLOOKUP($C251,tPartidos[MatchID],tPartidos[GL_Real],""),$E251=_xlfn.XLOOKUP($C251,tPartidos[MatchID],tPartidos[GV_Real],"")),CONFIG!$C$5,IF(SIGN($D251-$E251)=SIGN(_xlfn.XLOOKUP($C251,tPartidos[MatchID],tPartidos[GL_Real],0)-_xlfn.XLOOKUP($C251,tPartidos[MatchID],tPartidos[GV_Real],0)),CONFIG!$C$6,0))))</f>
        <v/>
      </c>
    </row>
    <row r="252" spans="6:6">
      <c r="F252" t="str">
        <f>IF($C252="","",IF(NOT(_xlfn.XLOOKUP($C252,tPartidos[MatchID],tPartidos[Jugado],"No")="Sí"),0,IF(AND($D252=_xlfn.XLOOKUP($C252,tPartidos[MatchID],tPartidos[GL_Real],""),$E252=_xlfn.XLOOKUP($C252,tPartidos[MatchID],tPartidos[GV_Real],"")),CONFIG!$C$5,IF(SIGN($D252-$E252)=SIGN(_xlfn.XLOOKUP($C252,tPartidos[MatchID],tPartidos[GL_Real],0)-_xlfn.XLOOKUP($C252,tPartidos[MatchID],tPartidos[GV_Real],0)),CONFIG!$C$6,0))))</f>
        <v/>
      </c>
    </row>
    <row r="253" spans="6:6">
      <c r="F253" t="str">
        <f>IF($C253="","",IF(NOT(_xlfn.XLOOKUP($C253,tPartidos[MatchID],tPartidos[Jugado],"No")="Sí"),0,IF(AND($D253=_xlfn.XLOOKUP($C253,tPartidos[MatchID],tPartidos[GL_Real],""),$E253=_xlfn.XLOOKUP($C253,tPartidos[MatchID],tPartidos[GV_Real],"")),CONFIG!$C$5,IF(SIGN($D253-$E253)=SIGN(_xlfn.XLOOKUP($C253,tPartidos[MatchID],tPartidos[GL_Real],0)-_xlfn.XLOOKUP($C253,tPartidos[MatchID],tPartidos[GV_Real],0)),CONFIG!$C$6,0))))</f>
        <v/>
      </c>
    </row>
    <row r="254" spans="6:6">
      <c r="F254" t="str">
        <f>IF($C254="","",IF(NOT(_xlfn.XLOOKUP($C254,tPartidos[MatchID],tPartidos[Jugado],"No")="Sí"),0,IF(AND($D254=_xlfn.XLOOKUP($C254,tPartidos[MatchID],tPartidos[GL_Real],""),$E254=_xlfn.XLOOKUP($C254,tPartidos[MatchID],tPartidos[GV_Real],"")),CONFIG!$C$5,IF(SIGN($D254-$E254)=SIGN(_xlfn.XLOOKUP($C254,tPartidos[MatchID],tPartidos[GL_Real],0)-_xlfn.XLOOKUP($C254,tPartidos[MatchID],tPartidos[GV_Real],0)),CONFIG!$C$6,0))))</f>
        <v/>
      </c>
    </row>
    <row r="255" spans="6:6">
      <c r="F255" t="str">
        <f>IF($C255="","",IF(NOT(_xlfn.XLOOKUP($C255,tPartidos[MatchID],tPartidos[Jugado],"No")="Sí"),0,IF(AND($D255=_xlfn.XLOOKUP($C255,tPartidos[MatchID],tPartidos[GL_Real],""),$E255=_xlfn.XLOOKUP($C255,tPartidos[MatchID],tPartidos[GV_Real],"")),CONFIG!$C$5,IF(SIGN($D255-$E255)=SIGN(_xlfn.XLOOKUP($C255,tPartidos[MatchID],tPartidos[GL_Real],0)-_xlfn.XLOOKUP($C255,tPartidos[MatchID],tPartidos[GV_Real],0)),CONFIG!$C$6,0))))</f>
        <v/>
      </c>
    </row>
    <row r="256" spans="6:6">
      <c r="F256" t="str">
        <f>IF($C256="","",IF(NOT(_xlfn.XLOOKUP($C256,tPartidos[MatchID],tPartidos[Jugado],"No")="Sí"),0,IF(AND($D256=_xlfn.XLOOKUP($C256,tPartidos[MatchID],tPartidos[GL_Real],""),$E256=_xlfn.XLOOKUP($C256,tPartidos[MatchID],tPartidos[GV_Real],"")),CONFIG!$C$5,IF(SIGN($D256-$E256)=SIGN(_xlfn.XLOOKUP($C256,tPartidos[MatchID],tPartidos[GL_Real],0)-_xlfn.XLOOKUP($C256,tPartidos[MatchID],tPartidos[GV_Real],0)),CONFIG!$C$6,0))))</f>
        <v/>
      </c>
    </row>
    <row r="257" spans="6:6">
      <c r="F257" t="str">
        <f>IF($C257="","",IF(NOT(_xlfn.XLOOKUP($C257,tPartidos[MatchID],tPartidos[Jugado],"No")="Sí"),0,IF(AND($D257=_xlfn.XLOOKUP($C257,tPartidos[MatchID],tPartidos[GL_Real],""),$E257=_xlfn.XLOOKUP($C257,tPartidos[MatchID],tPartidos[GV_Real],"")),CONFIG!$C$5,IF(SIGN($D257-$E257)=SIGN(_xlfn.XLOOKUP($C257,tPartidos[MatchID],tPartidos[GL_Real],0)-_xlfn.XLOOKUP($C257,tPartidos[MatchID],tPartidos[GV_Real],0)),CONFIG!$C$6,0))))</f>
        <v/>
      </c>
    </row>
    <row r="258" spans="6:6">
      <c r="F258" t="str">
        <f>IF($C258="","",IF(NOT(_xlfn.XLOOKUP($C258,tPartidos[MatchID],tPartidos[Jugado],"No")="Sí"),0,IF(AND($D258=_xlfn.XLOOKUP($C258,tPartidos[MatchID],tPartidos[GL_Real],""),$E258=_xlfn.XLOOKUP($C258,tPartidos[MatchID],tPartidos[GV_Real],"")),CONFIG!$C$5,IF(SIGN($D258-$E258)=SIGN(_xlfn.XLOOKUP($C258,tPartidos[MatchID],tPartidos[GL_Real],0)-_xlfn.XLOOKUP($C258,tPartidos[MatchID],tPartidos[GV_Real],0)),CONFIG!$C$6,0))))</f>
        <v/>
      </c>
    </row>
    <row r="259" spans="6:6">
      <c r="F259" t="str">
        <f>IF($C259="","",IF(NOT(_xlfn.XLOOKUP($C259,tPartidos[MatchID],tPartidos[Jugado],"No")="Sí"),0,IF(AND($D259=_xlfn.XLOOKUP($C259,tPartidos[MatchID],tPartidos[GL_Real],""),$E259=_xlfn.XLOOKUP($C259,tPartidos[MatchID],tPartidos[GV_Real],"")),CONFIG!$C$5,IF(SIGN($D259-$E259)=SIGN(_xlfn.XLOOKUP($C259,tPartidos[MatchID],tPartidos[GL_Real],0)-_xlfn.XLOOKUP($C259,tPartidos[MatchID],tPartidos[GV_Real],0)),CONFIG!$C$6,0))))</f>
        <v/>
      </c>
    </row>
    <row r="260" spans="6:6">
      <c r="F260" t="str">
        <f>IF($C260="","",IF(NOT(_xlfn.XLOOKUP($C260,tPartidos[MatchID],tPartidos[Jugado],"No")="Sí"),0,IF(AND($D260=_xlfn.XLOOKUP($C260,tPartidos[MatchID],tPartidos[GL_Real],""),$E260=_xlfn.XLOOKUP($C260,tPartidos[MatchID],tPartidos[GV_Real],"")),CONFIG!$C$5,IF(SIGN($D260-$E260)=SIGN(_xlfn.XLOOKUP($C260,tPartidos[MatchID],tPartidos[GL_Real],0)-_xlfn.XLOOKUP($C260,tPartidos[MatchID],tPartidos[GV_Real],0)),CONFIG!$C$6,0))))</f>
        <v/>
      </c>
    </row>
    <row r="261" spans="6:6">
      <c r="F261" t="str">
        <f>IF($C261="","",IF(NOT(_xlfn.XLOOKUP($C261,tPartidos[MatchID],tPartidos[Jugado],"No")="Sí"),0,IF(AND($D261=_xlfn.XLOOKUP($C261,tPartidos[MatchID],tPartidos[GL_Real],""),$E261=_xlfn.XLOOKUP($C261,tPartidos[MatchID],tPartidos[GV_Real],"")),CONFIG!$C$5,IF(SIGN($D261-$E261)=SIGN(_xlfn.XLOOKUP($C261,tPartidos[MatchID],tPartidos[GL_Real],0)-_xlfn.XLOOKUP($C261,tPartidos[MatchID],tPartidos[GV_Real],0)),CONFIG!$C$6,0))))</f>
        <v/>
      </c>
    </row>
    <row r="262" spans="6:6">
      <c r="F262" t="str">
        <f>IF($C262="","",IF(NOT(_xlfn.XLOOKUP($C262,tPartidos[MatchID],tPartidos[Jugado],"No")="Sí"),0,IF(AND($D262=_xlfn.XLOOKUP($C262,tPartidos[MatchID],tPartidos[GL_Real],""),$E262=_xlfn.XLOOKUP($C262,tPartidos[MatchID],tPartidos[GV_Real],"")),CONFIG!$C$5,IF(SIGN($D262-$E262)=SIGN(_xlfn.XLOOKUP($C262,tPartidos[MatchID],tPartidos[GL_Real],0)-_xlfn.XLOOKUP($C262,tPartidos[MatchID],tPartidos[GV_Real],0)),CONFIG!$C$6,0))))</f>
        <v/>
      </c>
    </row>
    <row r="263" spans="6:6">
      <c r="F263" t="str">
        <f>IF($C263="","",IF(NOT(_xlfn.XLOOKUP($C263,tPartidos[MatchID],tPartidos[Jugado],"No")="Sí"),0,IF(AND($D263=_xlfn.XLOOKUP($C263,tPartidos[MatchID],tPartidos[GL_Real],""),$E263=_xlfn.XLOOKUP($C263,tPartidos[MatchID],tPartidos[GV_Real],"")),CONFIG!$C$5,IF(SIGN($D263-$E263)=SIGN(_xlfn.XLOOKUP($C263,tPartidos[MatchID],tPartidos[GL_Real],0)-_xlfn.XLOOKUP($C263,tPartidos[MatchID],tPartidos[GV_Real],0)),CONFIG!$C$6,0))))</f>
        <v/>
      </c>
    </row>
    <row r="264" spans="6:6">
      <c r="F264" t="str">
        <f>IF($C264="","",IF(NOT(_xlfn.XLOOKUP($C264,tPartidos[MatchID],tPartidos[Jugado],"No")="Sí"),0,IF(AND($D264=_xlfn.XLOOKUP($C264,tPartidos[MatchID],tPartidos[GL_Real],""),$E264=_xlfn.XLOOKUP($C264,tPartidos[MatchID],tPartidos[GV_Real],"")),CONFIG!$C$5,IF(SIGN($D264-$E264)=SIGN(_xlfn.XLOOKUP($C264,tPartidos[MatchID],tPartidos[GL_Real],0)-_xlfn.XLOOKUP($C264,tPartidos[MatchID],tPartidos[GV_Real],0)),CONFIG!$C$6,0))))</f>
        <v/>
      </c>
    </row>
    <row r="265" spans="6:6">
      <c r="F265" t="str">
        <f>IF($C265="","",IF(NOT(_xlfn.XLOOKUP($C265,tPartidos[MatchID],tPartidos[Jugado],"No")="Sí"),0,IF(AND($D265=_xlfn.XLOOKUP($C265,tPartidos[MatchID],tPartidos[GL_Real],""),$E265=_xlfn.XLOOKUP($C265,tPartidos[MatchID],tPartidos[GV_Real],"")),CONFIG!$C$5,IF(SIGN($D265-$E265)=SIGN(_xlfn.XLOOKUP($C265,tPartidos[MatchID],tPartidos[GL_Real],0)-_xlfn.XLOOKUP($C265,tPartidos[MatchID],tPartidos[GV_Real],0)),CONFIG!$C$6,0))))</f>
        <v/>
      </c>
    </row>
    <row r="266" spans="6:6">
      <c r="F266" t="str">
        <f>IF($C266="","",IF(NOT(_xlfn.XLOOKUP($C266,tPartidos[MatchID],tPartidos[Jugado],"No")="Sí"),0,IF(AND($D266=_xlfn.XLOOKUP($C266,tPartidos[MatchID],tPartidos[GL_Real],""),$E266=_xlfn.XLOOKUP($C266,tPartidos[MatchID],tPartidos[GV_Real],"")),CONFIG!$C$5,IF(SIGN($D266-$E266)=SIGN(_xlfn.XLOOKUP($C266,tPartidos[MatchID],tPartidos[GL_Real],0)-_xlfn.XLOOKUP($C266,tPartidos[MatchID],tPartidos[GV_Real],0)),CONFIG!$C$6,0))))</f>
        <v/>
      </c>
    </row>
    <row r="267" spans="6:6">
      <c r="F267" t="str">
        <f>IF($C267="","",IF(NOT(_xlfn.XLOOKUP($C267,tPartidos[MatchID],tPartidos[Jugado],"No")="Sí"),0,IF(AND($D267=_xlfn.XLOOKUP($C267,tPartidos[MatchID],tPartidos[GL_Real],""),$E267=_xlfn.XLOOKUP($C267,tPartidos[MatchID],tPartidos[GV_Real],"")),CONFIG!$C$5,IF(SIGN($D267-$E267)=SIGN(_xlfn.XLOOKUP($C267,tPartidos[MatchID],tPartidos[GL_Real],0)-_xlfn.XLOOKUP($C267,tPartidos[MatchID],tPartidos[GV_Real],0)),CONFIG!$C$6,0))))</f>
        <v/>
      </c>
    </row>
    <row r="268" spans="6:6">
      <c r="F268" t="str">
        <f>IF($C268="","",IF(NOT(_xlfn.XLOOKUP($C268,tPartidos[MatchID],tPartidos[Jugado],"No")="Sí"),0,IF(AND($D268=_xlfn.XLOOKUP($C268,tPartidos[MatchID],tPartidos[GL_Real],""),$E268=_xlfn.XLOOKUP($C268,tPartidos[MatchID],tPartidos[GV_Real],"")),CONFIG!$C$5,IF(SIGN($D268-$E268)=SIGN(_xlfn.XLOOKUP($C268,tPartidos[MatchID],tPartidos[GL_Real],0)-_xlfn.XLOOKUP($C268,tPartidos[MatchID],tPartidos[GV_Real],0)),CONFIG!$C$6,0))))</f>
        <v/>
      </c>
    </row>
    <row r="269" spans="6:6">
      <c r="F269" t="str">
        <f>IF($C269="","",IF(NOT(_xlfn.XLOOKUP($C269,tPartidos[MatchID],tPartidos[Jugado],"No")="Sí"),0,IF(AND($D269=_xlfn.XLOOKUP($C269,tPartidos[MatchID],tPartidos[GL_Real],""),$E269=_xlfn.XLOOKUP($C269,tPartidos[MatchID],tPartidos[GV_Real],"")),CONFIG!$C$5,IF(SIGN($D269-$E269)=SIGN(_xlfn.XLOOKUP($C269,tPartidos[MatchID],tPartidos[GL_Real],0)-_xlfn.XLOOKUP($C269,tPartidos[MatchID],tPartidos[GV_Real],0)),CONFIG!$C$6,0))))</f>
        <v/>
      </c>
    </row>
    <row r="270" spans="6:6">
      <c r="F270" t="str">
        <f>IF($C270="","",IF(NOT(_xlfn.XLOOKUP($C270,tPartidos[MatchID],tPartidos[Jugado],"No")="Sí"),0,IF(AND($D270=_xlfn.XLOOKUP($C270,tPartidos[MatchID],tPartidos[GL_Real],""),$E270=_xlfn.XLOOKUP($C270,tPartidos[MatchID],tPartidos[GV_Real],"")),CONFIG!$C$5,IF(SIGN($D270-$E270)=SIGN(_xlfn.XLOOKUP($C270,tPartidos[MatchID],tPartidos[GL_Real],0)-_xlfn.XLOOKUP($C270,tPartidos[MatchID],tPartidos[GV_Real],0)),CONFIG!$C$6,0))))</f>
        <v/>
      </c>
    </row>
    <row r="271" spans="6:6">
      <c r="F271" t="str">
        <f>IF($C271="","",IF(NOT(_xlfn.XLOOKUP($C271,tPartidos[MatchID],tPartidos[Jugado],"No")="Sí"),0,IF(AND($D271=_xlfn.XLOOKUP($C271,tPartidos[MatchID],tPartidos[GL_Real],""),$E271=_xlfn.XLOOKUP($C271,tPartidos[MatchID],tPartidos[GV_Real],"")),CONFIG!$C$5,IF(SIGN($D271-$E271)=SIGN(_xlfn.XLOOKUP($C271,tPartidos[MatchID],tPartidos[GL_Real],0)-_xlfn.XLOOKUP($C271,tPartidos[MatchID],tPartidos[GV_Real],0)),CONFIG!$C$6,0))))</f>
        <v/>
      </c>
    </row>
    <row r="272" spans="6:6">
      <c r="F272" t="str">
        <f>IF($C272="","",IF(NOT(_xlfn.XLOOKUP($C272,tPartidos[MatchID],tPartidos[Jugado],"No")="Sí"),0,IF(AND($D272=_xlfn.XLOOKUP($C272,tPartidos[MatchID],tPartidos[GL_Real],""),$E272=_xlfn.XLOOKUP($C272,tPartidos[MatchID],tPartidos[GV_Real],"")),CONFIG!$C$5,IF(SIGN($D272-$E272)=SIGN(_xlfn.XLOOKUP($C272,tPartidos[MatchID],tPartidos[GL_Real],0)-_xlfn.XLOOKUP($C272,tPartidos[MatchID],tPartidos[GV_Real],0)),CONFIG!$C$6,0))))</f>
        <v/>
      </c>
    </row>
    <row r="273" spans="6:6">
      <c r="F273" t="str">
        <f>IF($C273="","",IF(NOT(_xlfn.XLOOKUP($C273,tPartidos[MatchID],tPartidos[Jugado],"No")="Sí"),0,IF(AND($D273=_xlfn.XLOOKUP($C273,tPartidos[MatchID],tPartidos[GL_Real],""),$E273=_xlfn.XLOOKUP($C273,tPartidos[MatchID],tPartidos[GV_Real],"")),CONFIG!$C$5,IF(SIGN($D273-$E273)=SIGN(_xlfn.XLOOKUP($C273,tPartidos[MatchID],tPartidos[GL_Real],0)-_xlfn.XLOOKUP($C273,tPartidos[MatchID],tPartidos[GV_Real],0)),CONFIG!$C$6,0))))</f>
        <v/>
      </c>
    </row>
    <row r="274" spans="6:6">
      <c r="F274" t="str">
        <f>IF($C274="","",IF(NOT(_xlfn.XLOOKUP($C274,tPartidos[MatchID],tPartidos[Jugado],"No")="Sí"),0,IF(AND($D274=_xlfn.XLOOKUP($C274,tPartidos[MatchID],tPartidos[GL_Real],""),$E274=_xlfn.XLOOKUP($C274,tPartidos[MatchID],tPartidos[GV_Real],"")),CONFIG!$C$5,IF(SIGN($D274-$E274)=SIGN(_xlfn.XLOOKUP($C274,tPartidos[MatchID],tPartidos[GL_Real],0)-_xlfn.XLOOKUP($C274,tPartidos[MatchID],tPartidos[GV_Real],0)),CONFIG!$C$6,0))))</f>
        <v/>
      </c>
    </row>
    <row r="275" spans="6:6">
      <c r="F275" t="str">
        <f>IF($C275="","",IF(NOT(_xlfn.XLOOKUP($C275,tPartidos[MatchID],tPartidos[Jugado],"No")="Sí"),0,IF(AND($D275=_xlfn.XLOOKUP($C275,tPartidos[MatchID],tPartidos[GL_Real],""),$E275=_xlfn.XLOOKUP($C275,tPartidos[MatchID],tPartidos[GV_Real],"")),CONFIG!$C$5,IF(SIGN($D275-$E275)=SIGN(_xlfn.XLOOKUP($C275,tPartidos[MatchID],tPartidos[GL_Real],0)-_xlfn.XLOOKUP($C275,tPartidos[MatchID],tPartidos[GV_Real],0)),CONFIG!$C$6,0))))</f>
        <v/>
      </c>
    </row>
    <row r="276" spans="6:6">
      <c r="F276" t="str">
        <f>IF($C276="","",IF(NOT(_xlfn.XLOOKUP($C276,tPartidos[MatchID],tPartidos[Jugado],"No")="Sí"),0,IF(AND($D276=_xlfn.XLOOKUP($C276,tPartidos[MatchID],tPartidos[GL_Real],""),$E276=_xlfn.XLOOKUP($C276,tPartidos[MatchID],tPartidos[GV_Real],"")),CONFIG!$C$5,IF(SIGN($D276-$E276)=SIGN(_xlfn.XLOOKUP($C276,tPartidos[MatchID],tPartidos[GL_Real],0)-_xlfn.XLOOKUP($C276,tPartidos[MatchID],tPartidos[GV_Real],0)),CONFIG!$C$6,0))))</f>
        <v/>
      </c>
    </row>
    <row r="277" spans="6:6">
      <c r="F277" t="str">
        <f>IF($C277="","",IF(NOT(_xlfn.XLOOKUP($C277,tPartidos[MatchID],tPartidos[Jugado],"No")="Sí"),0,IF(AND($D277=_xlfn.XLOOKUP($C277,tPartidos[MatchID],tPartidos[GL_Real],""),$E277=_xlfn.XLOOKUP($C277,tPartidos[MatchID],tPartidos[GV_Real],"")),CONFIG!$C$5,IF(SIGN($D277-$E277)=SIGN(_xlfn.XLOOKUP($C277,tPartidos[MatchID],tPartidos[GL_Real],0)-_xlfn.XLOOKUP($C277,tPartidos[MatchID],tPartidos[GV_Real],0)),CONFIG!$C$6,0))))</f>
        <v/>
      </c>
    </row>
    <row r="278" spans="6:6">
      <c r="F278" t="str">
        <f>IF($C278="","",IF(NOT(_xlfn.XLOOKUP($C278,tPartidos[MatchID],tPartidos[Jugado],"No")="Sí"),0,IF(AND($D278=_xlfn.XLOOKUP($C278,tPartidos[MatchID],tPartidos[GL_Real],""),$E278=_xlfn.XLOOKUP($C278,tPartidos[MatchID],tPartidos[GV_Real],"")),CONFIG!$C$5,IF(SIGN($D278-$E278)=SIGN(_xlfn.XLOOKUP($C278,tPartidos[MatchID],tPartidos[GL_Real],0)-_xlfn.XLOOKUP($C278,tPartidos[MatchID],tPartidos[GV_Real],0)),CONFIG!$C$6,0))))</f>
        <v/>
      </c>
    </row>
    <row r="279" spans="6:6">
      <c r="F279" t="str">
        <f>IF($C279="","",IF(NOT(_xlfn.XLOOKUP($C279,tPartidos[MatchID],tPartidos[Jugado],"No")="Sí"),0,IF(AND($D279=_xlfn.XLOOKUP($C279,tPartidos[MatchID],tPartidos[GL_Real],""),$E279=_xlfn.XLOOKUP($C279,tPartidos[MatchID],tPartidos[GV_Real],"")),CONFIG!$C$5,IF(SIGN($D279-$E279)=SIGN(_xlfn.XLOOKUP($C279,tPartidos[MatchID],tPartidos[GL_Real],0)-_xlfn.XLOOKUP($C279,tPartidos[MatchID],tPartidos[GV_Real],0)),CONFIG!$C$6,0))))</f>
        <v/>
      </c>
    </row>
    <row r="280" spans="6:6">
      <c r="F280" t="str">
        <f>IF($C280="","",IF(NOT(_xlfn.XLOOKUP($C280,tPartidos[MatchID],tPartidos[Jugado],"No")="Sí"),0,IF(AND($D280=_xlfn.XLOOKUP($C280,tPartidos[MatchID],tPartidos[GL_Real],""),$E280=_xlfn.XLOOKUP($C280,tPartidos[MatchID],tPartidos[GV_Real],"")),CONFIG!$C$5,IF(SIGN($D280-$E280)=SIGN(_xlfn.XLOOKUP($C280,tPartidos[MatchID],tPartidos[GL_Real],0)-_xlfn.XLOOKUP($C280,tPartidos[MatchID],tPartidos[GV_Real],0)),CONFIG!$C$6,0))))</f>
        <v/>
      </c>
    </row>
    <row r="281" spans="6:6">
      <c r="F281" t="str">
        <f>IF($C281="","",IF(NOT(_xlfn.XLOOKUP($C281,tPartidos[MatchID],tPartidos[Jugado],"No")="Sí"),0,IF(AND($D281=_xlfn.XLOOKUP($C281,tPartidos[MatchID],tPartidos[GL_Real],""),$E281=_xlfn.XLOOKUP($C281,tPartidos[MatchID],tPartidos[GV_Real],"")),CONFIG!$C$5,IF(SIGN($D281-$E281)=SIGN(_xlfn.XLOOKUP($C281,tPartidos[MatchID],tPartidos[GL_Real],0)-_xlfn.XLOOKUP($C281,tPartidos[MatchID],tPartidos[GV_Real],0)),CONFIG!$C$6,0))))</f>
        <v/>
      </c>
    </row>
    <row r="282" spans="6:6">
      <c r="F282" t="str">
        <f>IF($C282="","",IF(NOT(_xlfn.XLOOKUP($C282,tPartidos[MatchID],tPartidos[Jugado],"No")="Sí"),0,IF(AND($D282=_xlfn.XLOOKUP($C282,tPartidos[MatchID],tPartidos[GL_Real],""),$E282=_xlfn.XLOOKUP($C282,tPartidos[MatchID],tPartidos[GV_Real],"")),CONFIG!$C$5,IF(SIGN($D282-$E282)=SIGN(_xlfn.XLOOKUP($C282,tPartidos[MatchID],tPartidos[GL_Real],0)-_xlfn.XLOOKUP($C282,tPartidos[MatchID],tPartidos[GV_Real],0)),CONFIG!$C$6,0))))</f>
        <v/>
      </c>
    </row>
    <row r="283" spans="6:6">
      <c r="F283" t="str">
        <f>IF($C283="","",IF(NOT(_xlfn.XLOOKUP($C283,tPartidos[MatchID],tPartidos[Jugado],"No")="Sí"),0,IF(AND($D283=_xlfn.XLOOKUP($C283,tPartidos[MatchID],tPartidos[GL_Real],""),$E283=_xlfn.XLOOKUP($C283,tPartidos[MatchID],tPartidos[GV_Real],"")),CONFIG!$C$5,IF(SIGN($D283-$E283)=SIGN(_xlfn.XLOOKUP($C283,tPartidos[MatchID],tPartidos[GL_Real],0)-_xlfn.XLOOKUP($C283,tPartidos[MatchID],tPartidos[GV_Real],0)),CONFIG!$C$6,0))))</f>
        <v/>
      </c>
    </row>
    <row r="284" spans="6:6">
      <c r="F284" t="str">
        <f>IF($C284="","",IF(NOT(_xlfn.XLOOKUP($C284,tPartidos[MatchID],tPartidos[Jugado],"No")="Sí"),0,IF(AND($D284=_xlfn.XLOOKUP($C284,tPartidos[MatchID],tPartidos[GL_Real],""),$E284=_xlfn.XLOOKUP($C284,tPartidos[MatchID],tPartidos[GV_Real],"")),CONFIG!$C$5,IF(SIGN($D284-$E284)=SIGN(_xlfn.XLOOKUP($C284,tPartidos[MatchID],tPartidos[GL_Real],0)-_xlfn.XLOOKUP($C284,tPartidos[MatchID],tPartidos[GV_Real],0)),CONFIG!$C$6,0))))</f>
        <v/>
      </c>
    </row>
    <row r="285" spans="6:6">
      <c r="F285" t="str">
        <f>IF($C285="","",IF(NOT(_xlfn.XLOOKUP($C285,tPartidos[MatchID],tPartidos[Jugado],"No")="Sí"),0,IF(AND($D285=_xlfn.XLOOKUP($C285,tPartidos[MatchID],tPartidos[GL_Real],""),$E285=_xlfn.XLOOKUP($C285,tPartidos[MatchID],tPartidos[GV_Real],"")),CONFIG!$C$5,IF(SIGN($D285-$E285)=SIGN(_xlfn.XLOOKUP($C285,tPartidos[MatchID],tPartidos[GL_Real],0)-_xlfn.XLOOKUP($C285,tPartidos[MatchID],tPartidos[GV_Real],0)),CONFIG!$C$6,0))))</f>
        <v/>
      </c>
    </row>
    <row r="286" spans="6:6">
      <c r="F286" t="str">
        <f>IF($C286="","",IF(NOT(_xlfn.XLOOKUP($C286,tPartidos[MatchID],tPartidos[Jugado],"No")="Sí"),0,IF(AND($D286=_xlfn.XLOOKUP($C286,tPartidos[MatchID],tPartidos[GL_Real],""),$E286=_xlfn.XLOOKUP($C286,tPartidos[MatchID],tPartidos[GV_Real],"")),CONFIG!$C$5,IF(SIGN($D286-$E286)=SIGN(_xlfn.XLOOKUP($C286,tPartidos[MatchID],tPartidos[GL_Real],0)-_xlfn.XLOOKUP($C286,tPartidos[MatchID],tPartidos[GV_Real],0)),CONFIG!$C$6,0))))</f>
        <v/>
      </c>
    </row>
    <row r="287" spans="6:6">
      <c r="F287" t="str">
        <f>IF($C287="","",IF(NOT(_xlfn.XLOOKUP($C287,tPartidos[MatchID],tPartidos[Jugado],"No")="Sí"),0,IF(AND($D287=_xlfn.XLOOKUP($C287,tPartidos[MatchID],tPartidos[GL_Real],""),$E287=_xlfn.XLOOKUP($C287,tPartidos[MatchID],tPartidos[GV_Real],"")),CONFIG!$C$5,IF(SIGN($D287-$E287)=SIGN(_xlfn.XLOOKUP($C287,tPartidos[MatchID],tPartidos[GL_Real],0)-_xlfn.XLOOKUP($C287,tPartidos[MatchID],tPartidos[GV_Real],0)),CONFIG!$C$6,0))))</f>
        <v/>
      </c>
    </row>
    <row r="288" spans="6:6">
      <c r="F288" t="str">
        <f>IF($C288="","",IF(NOT(_xlfn.XLOOKUP($C288,tPartidos[MatchID],tPartidos[Jugado],"No")="Sí"),0,IF(AND($D288=_xlfn.XLOOKUP($C288,tPartidos[MatchID],tPartidos[GL_Real],""),$E288=_xlfn.XLOOKUP($C288,tPartidos[MatchID],tPartidos[GV_Real],"")),CONFIG!$C$5,IF(SIGN($D288-$E288)=SIGN(_xlfn.XLOOKUP($C288,tPartidos[MatchID],tPartidos[GL_Real],0)-_xlfn.XLOOKUP($C288,tPartidos[MatchID],tPartidos[GV_Real],0)),CONFIG!$C$6,0))))</f>
        <v/>
      </c>
    </row>
    <row r="289" spans="6:6">
      <c r="F289" t="str">
        <f>IF($C289="","",IF(NOT(_xlfn.XLOOKUP($C289,tPartidos[MatchID],tPartidos[Jugado],"No")="Sí"),0,IF(AND($D289=_xlfn.XLOOKUP($C289,tPartidos[MatchID],tPartidos[GL_Real],""),$E289=_xlfn.XLOOKUP($C289,tPartidos[MatchID],tPartidos[GV_Real],"")),CONFIG!$C$5,IF(SIGN($D289-$E289)=SIGN(_xlfn.XLOOKUP($C289,tPartidos[MatchID],tPartidos[GL_Real],0)-_xlfn.XLOOKUP($C289,tPartidos[MatchID],tPartidos[GV_Real],0)),CONFIG!$C$6,0))))</f>
        <v/>
      </c>
    </row>
    <row r="290" spans="6:6">
      <c r="F290" t="str">
        <f>IF($C290="","",IF(NOT(_xlfn.XLOOKUP($C290,tPartidos[MatchID],tPartidos[Jugado],"No")="Sí"),0,IF(AND($D290=_xlfn.XLOOKUP($C290,tPartidos[MatchID],tPartidos[GL_Real],""),$E290=_xlfn.XLOOKUP($C290,tPartidos[MatchID],tPartidos[GV_Real],"")),CONFIG!$C$5,IF(SIGN($D290-$E290)=SIGN(_xlfn.XLOOKUP($C290,tPartidos[MatchID],tPartidos[GL_Real],0)-_xlfn.XLOOKUP($C290,tPartidos[MatchID],tPartidos[GV_Real],0)),CONFIG!$C$6,0))))</f>
        <v/>
      </c>
    </row>
    <row r="291" spans="6:6">
      <c r="F291" t="str">
        <f>IF($C291="","",IF(NOT(_xlfn.XLOOKUP($C291,tPartidos[MatchID],tPartidos[Jugado],"No")="Sí"),0,IF(AND($D291=_xlfn.XLOOKUP($C291,tPartidos[MatchID],tPartidos[GL_Real],""),$E291=_xlfn.XLOOKUP($C291,tPartidos[MatchID],tPartidos[GV_Real],"")),CONFIG!$C$5,IF(SIGN($D291-$E291)=SIGN(_xlfn.XLOOKUP($C291,tPartidos[MatchID],tPartidos[GL_Real],0)-_xlfn.XLOOKUP($C291,tPartidos[MatchID],tPartidos[GV_Real],0)),CONFIG!$C$6,0))))</f>
        <v/>
      </c>
    </row>
    <row r="292" spans="6:6">
      <c r="F292" t="str">
        <f>IF($C292="","",IF(NOT(_xlfn.XLOOKUP($C292,tPartidos[MatchID],tPartidos[Jugado],"No")="Sí"),0,IF(AND($D292=_xlfn.XLOOKUP($C292,tPartidos[MatchID],tPartidos[GL_Real],""),$E292=_xlfn.XLOOKUP($C292,tPartidos[MatchID],tPartidos[GV_Real],"")),CONFIG!$C$5,IF(SIGN($D292-$E292)=SIGN(_xlfn.XLOOKUP($C292,tPartidos[MatchID],tPartidos[GL_Real],0)-_xlfn.XLOOKUP($C292,tPartidos[MatchID],tPartidos[GV_Real],0)),CONFIG!$C$6,0))))</f>
        <v/>
      </c>
    </row>
    <row r="293" spans="6:6">
      <c r="F293" t="str">
        <f>IF($C293="","",IF(NOT(_xlfn.XLOOKUP($C293,tPartidos[MatchID],tPartidos[Jugado],"No")="Sí"),0,IF(AND($D293=_xlfn.XLOOKUP($C293,tPartidos[MatchID],tPartidos[GL_Real],""),$E293=_xlfn.XLOOKUP($C293,tPartidos[MatchID],tPartidos[GV_Real],"")),CONFIG!$C$5,IF(SIGN($D293-$E293)=SIGN(_xlfn.XLOOKUP($C293,tPartidos[MatchID],tPartidos[GL_Real],0)-_xlfn.XLOOKUP($C293,tPartidos[MatchID],tPartidos[GV_Real],0)),CONFIG!$C$6,0))))</f>
        <v/>
      </c>
    </row>
    <row r="294" spans="6:6">
      <c r="F294" t="str">
        <f>IF($C294="","",IF(NOT(_xlfn.XLOOKUP($C294,tPartidos[MatchID],tPartidos[Jugado],"No")="Sí"),0,IF(AND($D294=_xlfn.XLOOKUP($C294,tPartidos[MatchID],tPartidos[GL_Real],""),$E294=_xlfn.XLOOKUP($C294,tPartidos[MatchID],tPartidos[GV_Real],"")),CONFIG!$C$5,IF(SIGN($D294-$E294)=SIGN(_xlfn.XLOOKUP($C294,tPartidos[MatchID],tPartidos[GL_Real],0)-_xlfn.XLOOKUP($C294,tPartidos[MatchID],tPartidos[GV_Real],0)),CONFIG!$C$6,0))))</f>
        <v/>
      </c>
    </row>
    <row r="295" spans="6:6">
      <c r="F295" t="str">
        <f>IF($C295="","",IF(NOT(_xlfn.XLOOKUP($C295,tPartidos[MatchID],tPartidos[Jugado],"No")="Sí"),0,IF(AND($D295=_xlfn.XLOOKUP($C295,tPartidos[MatchID],tPartidos[GL_Real],""),$E295=_xlfn.XLOOKUP($C295,tPartidos[MatchID],tPartidos[GV_Real],"")),CONFIG!$C$5,IF(SIGN($D295-$E295)=SIGN(_xlfn.XLOOKUP($C295,tPartidos[MatchID],tPartidos[GL_Real],0)-_xlfn.XLOOKUP($C295,tPartidos[MatchID],tPartidos[GV_Real],0)),CONFIG!$C$6,0))))</f>
        <v/>
      </c>
    </row>
    <row r="296" spans="6:6">
      <c r="F296" t="str">
        <f>IF($C296="","",IF(NOT(_xlfn.XLOOKUP($C296,tPartidos[MatchID],tPartidos[Jugado],"No")="Sí"),0,IF(AND($D296=_xlfn.XLOOKUP($C296,tPartidos[MatchID],tPartidos[GL_Real],""),$E296=_xlfn.XLOOKUP($C296,tPartidos[MatchID],tPartidos[GV_Real],"")),CONFIG!$C$5,IF(SIGN($D296-$E296)=SIGN(_xlfn.XLOOKUP($C296,tPartidos[MatchID],tPartidos[GL_Real],0)-_xlfn.XLOOKUP($C296,tPartidos[MatchID],tPartidos[GV_Real],0)),CONFIG!$C$6,0))))</f>
        <v/>
      </c>
    </row>
    <row r="297" spans="6:6">
      <c r="F297" t="str">
        <f>IF($C297="","",IF(NOT(_xlfn.XLOOKUP($C297,tPartidos[MatchID],tPartidos[Jugado],"No")="Sí"),0,IF(AND($D297=_xlfn.XLOOKUP($C297,tPartidos[MatchID],tPartidos[GL_Real],""),$E297=_xlfn.XLOOKUP($C297,tPartidos[MatchID],tPartidos[GV_Real],"")),CONFIG!$C$5,IF(SIGN($D297-$E297)=SIGN(_xlfn.XLOOKUP($C297,tPartidos[MatchID],tPartidos[GL_Real],0)-_xlfn.XLOOKUP($C297,tPartidos[MatchID],tPartidos[GV_Real],0)),CONFIG!$C$6,0))))</f>
        <v/>
      </c>
    </row>
    <row r="298" spans="6:6">
      <c r="F298" t="str">
        <f>IF($C298="","",IF(NOT(_xlfn.XLOOKUP($C298,tPartidos[MatchID],tPartidos[Jugado],"No")="Sí"),0,IF(AND($D298=_xlfn.XLOOKUP($C298,tPartidos[MatchID],tPartidos[GL_Real],""),$E298=_xlfn.XLOOKUP($C298,tPartidos[MatchID],tPartidos[GV_Real],"")),CONFIG!$C$5,IF(SIGN($D298-$E298)=SIGN(_xlfn.XLOOKUP($C298,tPartidos[MatchID],tPartidos[GL_Real],0)-_xlfn.XLOOKUP($C298,tPartidos[MatchID],tPartidos[GV_Real],0)),CONFIG!$C$6,0))))</f>
        <v/>
      </c>
    </row>
    <row r="299" spans="6:6">
      <c r="F299" t="str">
        <f>IF($C299="","",IF(NOT(_xlfn.XLOOKUP($C299,tPartidos[MatchID],tPartidos[Jugado],"No")="Sí"),0,IF(AND($D299=_xlfn.XLOOKUP($C299,tPartidos[MatchID],tPartidos[GL_Real],""),$E299=_xlfn.XLOOKUP($C299,tPartidos[MatchID],tPartidos[GV_Real],"")),CONFIG!$C$5,IF(SIGN($D299-$E299)=SIGN(_xlfn.XLOOKUP($C299,tPartidos[MatchID],tPartidos[GL_Real],0)-_xlfn.XLOOKUP($C299,tPartidos[MatchID],tPartidos[GV_Real],0)),CONFIG!$C$6,0))))</f>
        <v/>
      </c>
    </row>
    <row r="300" spans="6:6">
      <c r="F300" t="str">
        <f>IF($C300="","",IF(NOT(_xlfn.XLOOKUP($C300,tPartidos[MatchID],tPartidos[Jugado],"No")="Sí"),0,IF(AND($D300=_xlfn.XLOOKUP($C300,tPartidos[MatchID],tPartidos[GL_Real],""),$E300=_xlfn.XLOOKUP($C300,tPartidos[MatchID],tPartidos[GV_Real],"")),CONFIG!$C$5,IF(SIGN($D300-$E300)=SIGN(_xlfn.XLOOKUP($C300,tPartidos[MatchID],tPartidos[GL_Real],0)-_xlfn.XLOOKUP($C300,tPartidos[MatchID],tPartidos[GV_Real],0)),CONFIG!$C$6,0))))</f>
        <v/>
      </c>
    </row>
    <row r="301" spans="6:6">
      <c r="F301" t="str">
        <f>IF($C301="","",IF(NOT(_xlfn.XLOOKUP($C301,tPartidos[MatchID],tPartidos[Jugado],"No")="Sí"),0,IF(AND($D301=_xlfn.XLOOKUP($C301,tPartidos[MatchID],tPartidos[GL_Real],""),$E301=_xlfn.XLOOKUP($C301,tPartidos[MatchID],tPartidos[GV_Real],"")),CONFIG!$C$5,IF(SIGN($D301-$E301)=SIGN(_xlfn.XLOOKUP($C301,tPartidos[MatchID],tPartidos[GL_Real],0)-_xlfn.XLOOKUP($C301,tPartidos[MatchID],tPartidos[GV_Real],0)),CONFIG!$C$6,0))))</f>
        <v/>
      </c>
    </row>
    <row r="302" spans="6:6">
      <c r="F302" t="str">
        <f>IF($C302="","",IF(NOT(_xlfn.XLOOKUP($C302,tPartidos[MatchID],tPartidos[Jugado],"No")="Sí"),0,IF(AND($D302=_xlfn.XLOOKUP($C302,tPartidos[MatchID],tPartidos[GL_Real],""),$E302=_xlfn.XLOOKUP($C302,tPartidos[MatchID],tPartidos[GV_Real],"")),CONFIG!$C$5,IF(SIGN($D302-$E302)=SIGN(_xlfn.XLOOKUP($C302,tPartidos[MatchID],tPartidos[GL_Real],0)-_xlfn.XLOOKUP($C302,tPartidos[MatchID],tPartidos[GV_Real],0)),CONFIG!$C$6,0))))</f>
        <v/>
      </c>
    </row>
    <row r="303" spans="6:6">
      <c r="F303" t="str">
        <f>IF($C303="","",IF(NOT(_xlfn.XLOOKUP($C303,tPartidos[MatchID],tPartidos[Jugado],"No")="Sí"),0,IF(AND($D303=_xlfn.XLOOKUP($C303,tPartidos[MatchID],tPartidos[GL_Real],""),$E303=_xlfn.XLOOKUP($C303,tPartidos[MatchID],tPartidos[GV_Real],"")),CONFIG!$C$5,IF(SIGN($D303-$E303)=SIGN(_xlfn.XLOOKUP($C303,tPartidos[MatchID],tPartidos[GL_Real],0)-_xlfn.XLOOKUP($C303,tPartidos[MatchID],tPartidos[GV_Real],0)),CONFIG!$C$6,0))))</f>
        <v/>
      </c>
    </row>
    <row r="304" spans="6:6">
      <c r="F304" t="str">
        <f>IF($C304="","",IF(NOT(_xlfn.XLOOKUP($C304,tPartidos[MatchID],tPartidos[Jugado],"No")="Sí"),0,IF(AND($D304=_xlfn.XLOOKUP($C304,tPartidos[MatchID],tPartidos[GL_Real],""),$E304=_xlfn.XLOOKUP($C304,tPartidos[MatchID],tPartidos[GV_Real],"")),CONFIG!$C$5,IF(SIGN($D304-$E304)=SIGN(_xlfn.XLOOKUP($C304,tPartidos[MatchID],tPartidos[GL_Real],0)-_xlfn.XLOOKUP($C304,tPartidos[MatchID],tPartidos[GV_Real],0)),CONFIG!$C$6,0))))</f>
        <v/>
      </c>
    </row>
    <row r="305" spans="6:6">
      <c r="F305" t="str">
        <f>IF($C305="","",IF(NOT(_xlfn.XLOOKUP($C305,tPartidos[MatchID],tPartidos[Jugado],"No")="Sí"),0,IF(AND($D305=_xlfn.XLOOKUP($C305,tPartidos[MatchID],tPartidos[GL_Real],""),$E305=_xlfn.XLOOKUP($C305,tPartidos[MatchID],tPartidos[GV_Real],"")),CONFIG!$C$5,IF(SIGN($D305-$E305)=SIGN(_xlfn.XLOOKUP($C305,tPartidos[MatchID],tPartidos[GL_Real],0)-_xlfn.XLOOKUP($C305,tPartidos[MatchID],tPartidos[GV_Real],0)),CONFIG!$C$6,0))))</f>
        <v/>
      </c>
    </row>
    <row r="306" spans="6:6">
      <c r="F306" t="str">
        <f>IF($C306="","",IF(NOT(_xlfn.XLOOKUP($C306,tPartidos[MatchID],tPartidos[Jugado],"No")="Sí"),0,IF(AND($D306=_xlfn.XLOOKUP($C306,tPartidos[MatchID],tPartidos[GL_Real],""),$E306=_xlfn.XLOOKUP($C306,tPartidos[MatchID],tPartidos[GV_Real],"")),CONFIG!$C$5,IF(SIGN($D306-$E306)=SIGN(_xlfn.XLOOKUP($C306,tPartidos[MatchID],tPartidos[GL_Real],0)-_xlfn.XLOOKUP($C306,tPartidos[MatchID],tPartidos[GV_Real],0)),CONFIG!$C$6,0))))</f>
        <v/>
      </c>
    </row>
    <row r="307" spans="6:6">
      <c r="F307" t="str">
        <f>IF($C307="","",IF(NOT(_xlfn.XLOOKUP($C307,tPartidos[MatchID],tPartidos[Jugado],"No")="Sí"),0,IF(AND($D307=_xlfn.XLOOKUP($C307,tPartidos[MatchID],tPartidos[GL_Real],""),$E307=_xlfn.XLOOKUP($C307,tPartidos[MatchID],tPartidos[GV_Real],"")),CONFIG!$C$5,IF(SIGN($D307-$E307)=SIGN(_xlfn.XLOOKUP($C307,tPartidos[MatchID],tPartidos[GL_Real],0)-_xlfn.XLOOKUP($C307,tPartidos[MatchID],tPartidos[GV_Real],0)),CONFIG!$C$6,0))))</f>
        <v/>
      </c>
    </row>
    <row r="308" spans="6:6">
      <c r="F308" t="str">
        <f>IF($C308="","",IF(NOT(_xlfn.XLOOKUP($C308,tPartidos[MatchID],tPartidos[Jugado],"No")="Sí"),0,IF(AND($D308=_xlfn.XLOOKUP($C308,tPartidos[MatchID],tPartidos[GL_Real],""),$E308=_xlfn.XLOOKUP($C308,tPartidos[MatchID],tPartidos[GV_Real],"")),CONFIG!$C$5,IF(SIGN($D308-$E308)=SIGN(_xlfn.XLOOKUP($C308,tPartidos[MatchID],tPartidos[GL_Real],0)-_xlfn.XLOOKUP($C308,tPartidos[MatchID],tPartidos[GV_Real],0)),CONFIG!$C$6,0))))</f>
        <v/>
      </c>
    </row>
    <row r="309" spans="6:6">
      <c r="F309" t="str">
        <f>IF($C309="","",IF(NOT(_xlfn.XLOOKUP($C309,tPartidos[MatchID],tPartidos[Jugado],"No")="Sí"),0,IF(AND($D309=_xlfn.XLOOKUP($C309,tPartidos[MatchID],tPartidos[GL_Real],""),$E309=_xlfn.XLOOKUP($C309,tPartidos[MatchID],tPartidos[GV_Real],"")),CONFIG!$C$5,IF(SIGN($D309-$E309)=SIGN(_xlfn.XLOOKUP($C309,tPartidos[MatchID],tPartidos[GL_Real],0)-_xlfn.XLOOKUP($C309,tPartidos[MatchID],tPartidos[GV_Real],0)),CONFIG!$C$6,0))))</f>
        <v/>
      </c>
    </row>
    <row r="310" spans="6:6">
      <c r="F310" t="str">
        <f>IF($C310="","",IF(NOT(_xlfn.XLOOKUP($C310,tPartidos[MatchID],tPartidos[Jugado],"No")="Sí"),0,IF(AND($D310=_xlfn.XLOOKUP($C310,tPartidos[MatchID],tPartidos[GL_Real],""),$E310=_xlfn.XLOOKUP($C310,tPartidos[MatchID],tPartidos[GV_Real],"")),CONFIG!$C$5,IF(SIGN($D310-$E310)=SIGN(_xlfn.XLOOKUP($C310,tPartidos[MatchID],tPartidos[GL_Real],0)-_xlfn.XLOOKUP($C310,tPartidos[MatchID],tPartidos[GV_Real],0)),CONFIG!$C$6,0))))</f>
        <v/>
      </c>
    </row>
    <row r="311" spans="6:6">
      <c r="F311" t="str">
        <f>IF($C311="","",IF(NOT(_xlfn.XLOOKUP($C311,tPartidos[MatchID],tPartidos[Jugado],"No")="Sí"),0,IF(AND($D311=_xlfn.XLOOKUP($C311,tPartidos[MatchID],tPartidos[GL_Real],""),$E311=_xlfn.XLOOKUP($C311,tPartidos[MatchID],tPartidos[GV_Real],"")),CONFIG!$C$5,IF(SIGN($D311-$E311)=SIGN(_xlfn.XLOOKUP($C311,tPartidos[MatchID],tPartidos[GL_Real],0)-_xlfn.XLOOKUP($C311,tPartidos[MatchID],tPartidos[GV_Real],0)),CONFIG!$C$6,0))))</f>
        <v/>
      </c>
    </row>
    <row r="312" spans="6:6">
      <c r="F312" t="str">
        <f>IF($C312="","",IF(NOT(_xlfn.XLOOKUP($C312,tPartidos[MatchID],tPartidos[Jugado],"No")="Sí"),0,IF(AND($D312=_xlfn.XLOOKUP($C312,tPartidos[MatchID],tPartidos[GL_Real],""),$E312=_xlfn.XLOOKUP($C312,tPartidos[MatchID],tPartidos[GV_Real],"")),CONFIG!$C$5,IF(SIGN($D312-$E312)=SIGN(_xlfn.XLOOKUP($C312,tPartidos[MatchID],tPartidos[GL_Real],0)-_xlfn.XLOOKUP($C312,tPartidos[MatchID],tPartidos[GV_Real],0)),CONFIG!$C$6,0))))</f>
        <v/>
      </c>
    </row>
    <row r="313" spans="6:6">
      <c r="F313" t="str">
        <f>IF($C313="","",IF(NOT(_xlfn.XLOOKUP($C313,tPartidos[MatchID],tPartidos[Jugado],"No")="Sí"),0,IF(AND($D313=_xlfn.XLOOKUP($C313,tPartidos[MatchID],tPartidos[GL_Real],""),$E313=_xlfn.XLOOKUP($C313,tPartidos[MatchID],tPartidos[GV_Real],"")),CONFIG!$C$5,IF(SIGN($D313-$E313)=SIGN(_xlfn.XLOOKUP($C313,tPartidos[MatchID],tPartidos[GL_Real],0)-_xlfn.XLOOKUP($C313,tPartidos[MatchID],tPartidos[GV_Real],0)),CONFIG!$C$6,0))))</f>
        <v/>
      </c>
    </row>
    <row r="314" spans="6:6">
      <c r="F314" t="str">
        <f>IF($C314="","",IF(NOT(_xlfn.XLOOKUP($C314,tPartidos[MatchID],tPartidos[Jugado],"No")="Sí"),0,IF(AND($D314=_xlfn.XLOOKUP($C314,tPartidos[MatchID],tPartidos[GL_Real],""),$E314=_xlfn.XLOOKUP($C314,tPartidos[MatchID],tPartidos[GV_Real],"")),CONFIG!$C$5,IF(SIGN($D314-$E314)=SIGN(_xlfn.XLOOKUP($C314,tPartidos[MatchID],tPartidos[GL_Real],0)-_xlfn.XLOOKUP($C314,tPartidos[MatchID],tPartidos[GV_Real],0)),CONFIG!$C$6,0))))</f>
        <v/>
      </c>
    </row>
    <row r="315" spans="6:6">
      <c r="F315" t="str">
        <f>IF($C315="","",IF(NOT(_xlfn.XLOOKUP($C315,tPartidos[MatchID],tPartidos[Jugado],"No")="Sí"),0,IF(AND($D315=_xlfn.XLOOKUP($C315,tPartidos[MatchID],tPartidos[GL_Real],""),$E315=_xlfn.XLOOKUP($C315,tPartidos[MatchID],tPartidos[GV_Real],"")),CONFIG!$C$5,IF(SIGN($D315-$E315)=SIGN(_xlfn.XLOOKUP($C315,tPartidos[MatchID],tPartidos[GL_Real],0)-_xlfn.XLOOKUP($C315,tPartidos[MatchID],tPartidos[GV_Real],0)),CONFIG!$C$6,0))))</f>
        <v/>
      </c>
    </row>
    <row r="316" spans="6:6">
      <c r="F316" t="str">
        <f>IF($C316="","",IF(NOT(_xlfn.XLOOKUP($C316,tPartidos[MatchID],tPartidos[Jugado],"No")="Sí"),0,IF(AND($D316=_xlfn.XLOOKUP($C316,tPartidos[MatchID],tPartidos[GL_Real],""),$E316=_xlfn.XLOOKUP($C316,tPartidos[MatchID],tPartidos[GV_Real],"")),CONFIG!$C$5,IF(SIGN($D316-$E316)=SIGN(_xlfn.XLOOKUP($C316,tPartidos[MatchID],tPartidos[GL_Real],0)-_xlfn.XLOOKUP($C316,tPartidos[MatchID],tPartidos[GV_Real],0)),CONFIG!$C$6,0))))</f>
        <v/>
      </c>
    </row>
    <row r="317" spans="6:6">
      <c r="F317" t="str">
        <f>IF($C317="","",IF(NOT(_xlfn.XLOOKUP($C317,tPartidos[MatchID],tPartidos[Jugado],"No")="Sí"),0,IF(AND($D317=_xlfn.XLOOKUP($C317,tPartidos[MatchID],tPartidos[GL_Real],""),$E317=_xlfn.XLOOKUP($C317,tPartidos[MatchID],tPartidos[GV_Real],"")),CONFIG!$C$5,IF(SIGN($D317-$E317)=SIGN(_xlfn.XLOOKUP($C317,tPartidos[MatchID],tPartidos[GL_Real],0)-_xlfn.XLOOKUP($C317,tPartidos[MatchID],tPartidos[GV_Real],0)),CONFIG!$C$6,0))))</f>
        <v/>
      </c>
    </row>
    <row r="318" spans="6:6">
      <c r="F318" t="str">
        <f>IF($C318="","",IF(NOT(_xlfn.XLOOKUP($C318,tPartidos[MatchID],tPartidos[Jugado],"No")="Sí"),0,IF(AND($D318=_xlfn.XLOOKUP($C318,tPartidos[MatchID],tPartidos[GL_Real],""),$E318=_xlfn.XLOOKUP($C318,tPartidos[MatchID],tPartidos[GV_Real],"")),CONFIG!$C$5,IF(SIGN($D318-$E318)=SIGN(_xlfn.XLOOKUP($C318,tPartidos[MatchID],tPartidos[GL_Real],0)-_xlfn.XLOOKUP($C318,tPartidos[MatchID],tPartidos[GV_Real],0)),CONFIG!$C$6,0))))</f>
        <v/>
      </c>
    </row>
    <row r="319" spans="6:6">
      <c r="F319" t="str">
        <f>IF($C319="","",IF(NOT(_xlfn.XLOOKUP($C319,tPartidos[MatchID],tPartidos[Jugado],"No")="Sí"),0,IF(AND($D319=_xlfn.XLOOKUP($C319,tPartidos[MatchID],tPartidos[GL_Real],""),$E319=_xlfn.XLOOKUP($C319,tPartidos[MatchID],tPartidos[GV_Real],"")),CONFIG!$C$5,IF(SIGN($D319-$E319)=SIGN(_xlfn.XLOOKUP($C319,tPartidos[MatchID],tPartidos[GL_Real],0)-_xlfn.XLOOKUP($C319,tPartidos[MatchID],tPartidos[GV_Real],0)),CONFIG!$C$6,0))))</f>
        <v/>
      </c>
    </row>
    <row r="320" spans="6:6">
      <c r="F320" t="str">
        <f>IF($C320="","",IF(NOT(_xlfn.XLOOKUP($C320,tPartidos[MatchID],tPartidos[Jugado],"No")="Sí"),0,IF(AND($D320=_xlfn.XLOOKUP($C320,tPartidos[MatchID],tPartidos[GL_Real],""),$E320=_xlfn.XLOOKUP($C320,tPartidos[MatchID],tPartidos[GV_Real],"")),CONFIG!$C$5,IF(SIGN($D320-$E320)=SIGN(_xlfn.XLOOKUP($C320,tPartidos[MatchID],tPartidos[GL_Real],0)-_xlfn.XLOOKUP($C320,tPartidos[MatchID],tPartidos[GV_Real],0)),CONFIG!$C$6,0))))</f>
        <v/>
      </c>
    </row>
    <row r="321" spans="6:6">
      <c r="F321" t="str">
        <f>IF($C321="","",IF(NOT(_xlfn.XLOOKUP($C321,tPartidos[MatchID],tPartidos[Jugado],"No")="Sí"),0,IF(AND($D321=_xlfn.XLOOKUP($C321,tPartidos[MatchID],tPartidos[GL_Real],""),$E321=_xlfn.XLOOKUP($C321,tPartidos[MatchID],tPartidos[GV_Real],"")),CONFIG!$C$5,IF(SIGN($D321-$E321)=SIGN(_xlfn.XLOOKUP($C321,tPartidos[MatchID],tPartidos[GL_Real],0)-_xlfn.XLOOKUP($C321,tPartidos[MatchID],tPartidos[GV_Real],0)),CONFIG!$C$6,0))))</f>
        <v/>
      </c>
    </row>
    <row r="322" spans="6:6">
      <c r="F322" t="str">
        <f>IF($C322="","",IF(NOT(_xlfn.XLOOKUP($C322,tPartidos[MatchID],tPartidos[Jugado],"No")="Sí"),0,IF(AND($D322=_xlfn.XLOOKUP($C322,tPartidos[MatchID],tPartidos[GL_Real],""),$E322=_xlfn.XLOOKUP($C322,tPartidos[MatchID],tPartidos[GV_Real],"")),CONFIG!$C$5,IF(SIGN($D322-$E322)=SIGN(_xlfn.XLOOKUP($C322,tPartidos[MatchID],tPartidos[GL_Real],0)-_xlfn.XLOOKUP($C322,tPartidos[MatchID],tPartidos[GV_Real],0)),CONFIG!$C$6,0))))</f>
        <v/>
      </c>
    </row>
    <row r="323" spans="6:6">
      <c r="F323" t="str">
        <f>IF($C323="","",IF(NOT(_xlfn.XLOOKUP($C323,tPartidos[MatchID],tPartidos[Jugado],"No")="Sí"),0,IF(AND($D323=_xlfn.XLOOKUP($C323,tPartidos[MatchID],tPartidos[GL_Real],""),$E323=_xlfn.XLOOKUP($C323,tPartidos[MatchID],tPartidos[GV_Real],"")),CONFIG!$C$5,IF(SIGN($D323-$E323)=SIGN(_xlfn.XLOOKUP($C323,tPartidos[MatchID],tPartidos[GL_Real],0)-_xlfn.XLOOKUP($C323,tPartidos[MatchID],tPartidos[GV_Real],0)),CONFIG!$C$6,0))))</f>
        <v/>
      </c>
    </row>
    <row r="324" spans="6:6">
      <c r="F324" t="str">
        <f>IF($C324="","",IF(NOT(_xlfn.XLOOKUP($C324,tPartidos[MatchID],tPartidos[Jugado],"No")="Sí"),0,IF(AND($D324=_xlfn.XLOOKUP($C324,tPartidos[MatchID],tPartidos[GL_Real],""),$E324=_xlfn.XLOOKUP($C324,tPartidos[MatchID],tPartidos[GV_Real],"")),CONFIG!$C$5,IF(SIGN($D324-$E324)=SIGN(_xlfn.XLOOKUP($C324,tPartidos[MatchID],tPartidos[GL_Real],0)-_xlfn.XLOOKUP($C324,tPartidos[MatchID],tPartidos[GV_Real],0)),CONFIG!$C$6,0))))</f>
        <v/>
      </c>
    </row>
    <row r="325" spans="6:6">
      <c r="F325" t="str">
        <f>IF($C325="","",IF(NOT(_xlfn.XLOOKUP($C325,tPartidos[MatchID],tPartidos[Jugado],"No")="Sí"),0,IF(AND($D325=_xlfn.XLOOKUP($C325,tPartidos[MatchID],tPartidos[GL_Real],""),$E325=_xlfn.XLOOKUP($C325,tPartidos[MatchID],tPartidos[GV_Real],"")),CONFIG!$C$5,IF(SIGN($D325-$E325)=SIGN(_xlfn.XLOOKUP($C325,tPartidos[MatchID],tPartidos[GL_Real],0)-_xlfn.XLOOKUP($C325,tPartidos[MatchID],tPartidos[GV_Real],0)),CONFIG!$C$6,0))))</f>
        <v/>
      </c>
    </row>
    <row r="326" spans="6:6">
      <c r="F326" t="str">
        <f>IF($C326="","",IF(NOT(_xlfn.XLOOKUP($C326,tPartidos[MatchID],tPartidos[Jugado],"No")="Sí"),0,IF(AND($D326=_xlfn.XLOOKUP($C326,tPartidos[MatchID],tPartidos[GL_Real],""),$E326=_xlfn.XLOOKUP($C326,tPartidos[MatchID],tPartidos[GV_Real],"")),CONFIG!$C$5,IF(SIGN($D326-$E326)=SIGN(_xlfn.XLOOKUP($C326,tPartidos[MatchID],tPartidos[GL_Real],0)-_xlfn.XLOOKUP($C326,tPartidos[MatchID],tPartidos[GV_Real],0)),CONFIG!$C$6,0))))</f>
        <v/>
      </c>
    </row>
    <row r="327" spans="6:6">
      <c r="F327" t="str">
        <f>IF($C327="","",IF(NOT(_xlfn.XLOOKUP($C327,tPartidos[MatchID],tPartidos[Jugado],"No")="Sí"),0,IF(AND($D327=_xlfn.XLOOKUP($C327,tPartidos[MatchID],tPartidos[GL_Real],""),$E327=_xlfn.XLOOKUP($C327,tPartidos[MatchID],tPartidos[GV_Real],"")),CONFIG!$C$5,IF(SIGN($D327-$E327)=SIGN(_xlfn.XLOOKUP($C327,tPartidos[MatchID],tPartidos[GL_Real],0)-_xlfn.XLOOKUP($C327,tPartidos[MatchID],tPartidos[GV_Real],0)),CONFIG!$C$6,0))))</f>
        <v/>
      </c>
    </row>
    <row r="328" spans="6:6">
      <c r="F328" t="str">
        <f>IF($C328="","",IF(NOT(_xlfn.XLOOKUP($C328,tPartidos[MatchID],tPartidos[Jugado],"No")="Sí"),0,IF(AND($D328=_xlfn.XLOOKUP($C328,tPartidos[MatchID],tPartidos[GL_Real],""),$E328=_xlfn.XLOOKUP($C328,tPartidos[MatchID],tPartidos[GV_Real],"")),CONFIG!$C$5,IF(SIGN($D328-$E328)=SIGN(_xlfn.XLOOKUP($C328,tPartidos[MatchID],tPartidos[GL_Real],0)-_xlfn.XLOOKUP($C328,tPartidos[MatchID],tPartidos[GV_Real],0)),CONFIG!$C$6,0))))</f>
        <v/>
      </c>
    </row>
    <row r="329" spans="6:6">
      <c r="F329" t="str">
        <f>IF($C329="","",IF(NOT(_xlfn.XLOOKUP($C329,tPartidos[MatchID],tPartidos[Jugado],"No")="Sí"),0,IF(AND($D329=_xlfn.XLOOKUP($C329,tPartidos[MatchID],tPartidos[GL_Real],""),$E329=_xlfn.XLOOKUP($C329,tPartidos[MatchID],tPartidos[GV_Real],"")),CONFIG!$C$5,IF(SIGN($D329-$E329)=SIGN(_xlfn.XLOOKUP($C329,tPartidos[MatchID],tPartidos[GL_Real],0)-_xlfn.XLOOKUP($C329,tPartidos[MatchID],tPartidos[GV_Real],0)),CONFIG!$C$6,0))))</f>
        <v/>
      </c>
    </row>
    <row r="330" spans="6:6">
      <c r="F330" t="str">
        <f>IF($C330="","",IF(NOT(_xlfn.XLOOKUP($C330,tPartidos[MatchID],tPartidos[Jugado],"No")="Sí"),0,IF(AND($D330=_xlfn.XLOOKUP($C330,tPartidos[MatchID],tPartidos[GL_Real],""),$E330=_xlfn.XLOOKUP($C330,tPartidos[MatchID],tPartidos[GV_Real],"")),CONFIG!$C$5,IF(SIGN($D330-$E330)=SIGN(_xlfn.XLOOKUP($C330,tPartidos[MatchID],tPartidos[GL_Real],0)-_xlfn.XLOOKUP($C330,tPartidos[MatchID],tPartidos[GV_Real],0)),CONFIG!$C$6,0))))</f>
        <v/>
      </c>
    </row>
    <row r="331" spans="6:6">
      <c r="F331" t="str">
        <f>IF($C331="","",IF(NOT(_xlfn.XLOOKUP($C331,tPartidos[MatchID],tPartidos[Jugado],"No")="Sí"),0,IF(AND($D331=_xlfn.XLOOKUP($C331,tPartidos[MatchID],tPartidos[GL_Real],""),$E331=_xlfn.XLOOKUP($C331,tPartidos[MatchID],tPartidos[GV_Real],"")),CONFIG!$C$5,IF(SIGN($D331-$E331)=SIGN(_xlfn.XLOOKUP($C331,tPartidos[MatchID],tPartidos[GL_Real],0)-_xlfn.XLOOKUP($C331,tPartidos[MatchID],tPartidos[GV_Real],0)),CONFIG!$C$6,0))))</f>
        <v/>
      </c>
    </row>
    <row r="332" spans="6:6">
      <c r="F332" t="str">
        <f>IF($C332="","",IF(NOT(_xlfn.XLOOKUP($C332,tPartidos[MatchID],tPartidos[Jugado],"No")="Sí"),0,IF(AND($D332=_xlfn.XLOOKUP($C332,tPartidos[MatchID],tPartidos[GL_Real],""),$E332=_xlfn.XLOOKUP($C332,tPartidos[MatchID],tPartidos[GV_Real],"")),CONFIG!$C$5,IF(SIGN($D332-$E332)=SIGN(_xlfn.XLOOKUP($C332,tPartidos[MatchID],tPartidos[GL_Real],0)-_xlfn.XLOOKUP($C332,tPartidos[MatchID],tPartidos[GV_Real],0)),CONFIG!$C$6,0))))</f>
        <v/>
      </c>
    </row>
    <row r="333" spans="6:6">
      <c r="F333" t="str">
        <f>IF($C333="","",IF(NOT(_xlfn.XLOOKUP($C333,tPartidos[MatchID],tPartidos[Jugado],"No")="Sí"),0,IF(AND($D333=_xlfn.XLOOKUP($C333,tPartidos[MatchID],tPartidos[GL_Real],""),$E333=_xlfn.XLOOKUP($C333,tPartidos[MatchID],tPartidos[GV_Real],"")),CONFIG!$C$5,IF(SIGN($D333-$E333)=SIGN(_xlfn.XLOOKUP($C333,tPartidos[MatchID],tPartidos[GL_Real],0)-_xlfn.XLOOKUP($C333,tPartidos[MatchID],tPartidos[GV_Real],0)),CONFIG!$C$6,0))))</f>
        <v/>
      </c>
    </row>
    <row r="334" spans="6:6">
      <c r="F334" t="str">
        <f>IF($C334="","",IF(NOT(_xlfn.XLOOKUP($C334,tPartidos[MatchID],tPartidos[Jugado],"No")="Sí"),0,IF(AND($D334=_xlfn.XLOOKUP($C334,tPartidos[MatchID],tPartidos[GL_Real],""),$E334=_xlfn.XLOOKUP($C334,tPartidos[MatchID],tPartidos[GV_Real],"")),CONFIG!$C$5,IF(SIGN($D334-$E334)=SIGN(_xlfn.XLOOKUP($C334,tPartidos[MatchID],tPartidos[GL_Real],0)-_xlfn.XLOOKUP($C334,tPartidos[MatchID],tPartidos[GV_Real],0)),CONFIG!$C$6,0))))</f>
        <v/>
      </c>
    </row>
    <row r="335" spans="6:6">
      <c r="F335" t="str">
        <f>IF($C335="","",IF(NOT(_xlfn.XLOOKUP($C335,tPartidos[MatchID],tPartidos[Jugado],"No")="Sí"),0,IF(AND($D335=_xlfn.XLOOKUP($C335,tPartidos[MatchID],tPartidos[GL_Real],""),$E335=_xlfn.XLOOKUP($C335,tPartidos[MatchID],tPartidos[GV_Real],"")),CONFIG!$C$5,IF(SIGN($D335-$E335)=SIGN(_xlfn.XLOOKUP($C335,tPartidos[MatchID],tPartidos[GL_Real],0)-_xlfn.XLOOKUP($C335,tPartidos[MatchID],tPartidos[GV_Real],0)),CONFIG!$C$6,0))))</f>
        <v/>
      </c>
    </row>
    <row r="336" spans="6:6">
      <c r="F336" t="str">
        <f>IF($C336="","",IF(NOT(_xlfn.XLOOKUP($C336,tPartidos[MatchID],tPartidos[Jugado],"No")="Sí"),0,IF(AND($D336=_xlfn.XLOOKUP($C336,tPartidos[MatchID],tPartidos[GL_Real],""),$E336=_xlfn.XLOOKUP($C336,tPartidos[MatchID],tPartidos[GV_Real],"")),CONFIG!$C$5,IF(SIGN($D336-$E336)=SIGN(_xlfn.XLOOKUP($C336,tPartidos[MatchID],tPartidos[GL_Real],0)-_xlfn.XLOOKUP($C336,tPartidos[MatchID],tPartidos[GV_Real],0)),CONFIG!$C$6,0))))</f>
        <v/>
      </c>
    </row>
    <row r="337" spans="6:6">
      <c r="F337" t="str">
        <f>IF($C337="","",IF(NOT(_xlfn.XLOOKUP($C337,tPartidos[MatchID],tPartidos[Jugado],"No")="Sí"),0,IF(AND($D337=_xlfn.XLOOKUP($C337,tPartidos[MatchID],tPartidos[GL_Real],""),$E337=_xlfn.XLOOKUP($C337,tPartidos[MatchID],tPartidos[GV_Real],"")),CONFIG!$C$5,IF(SIGN($D337-$E337)=SIGN(_xlfn.XLOOKUP($C337,tPartidos[MatchID],tPartidos[GL_Real],0)-_xlfn.XLOOKUP($C337,tPartidos[MatchID],tPartidos[GV_Real],0)),CONFIG!$C$6,0))))</f>
        <v/>
      </c>
    </row>
    <row r="338" spans="6:6">
      <c r="F338" t="str">
        <f>IF($C338="","",IF(NOT(_xlfn.XLOOKUP($C338,tPartidos[MatchID],tPartidos[Jugado],"No")="Sí"),0,IF(AND($D338=_xlfn.XLOOKUP($C338,tPartidos[MatchID],tPartidos[GL_Real],""),$E338=_xlfn.XLOOKUP($C338,tPartidos[MatchID],tPartidos[GV_Real],"")),CONFIG!$C$5,IF(SIGN($D338-$E338)=SIGN(_xlfn.XLOOKUP($C338,tPartidos[MatchID],tPartidos[GL_Real],0)-_xlfn.XLOOKUP($C338,tPartidos[MatchID],tPartidos[GV_Real],0)),CONFIG!$C$6,0))))</f>
        <v/>
      </c>
    </row>
    <row r="339" spans="6:6">
      <c r="F339" t="str">
        <f>IF($C339="","",IF(NOT(_xlfn.XLOOKUP($C339,tPartidos[MatchID],tPartidos[Jugado],"No")="Sí"),0,IF(AND($D339=_xlfn.XLOOKUP($C339,tPartidos[MatchID],tPartidos[GL_Real],""),$E339=_xlfn.XLOOKUP($C339,tPartidos[MatchID],tPartidos[GV_Real],"")),CONFIG!$C$5,IF(SIGN($D339-$E339)=SIGN(_xlfn.XLOOKUP($C339,tPartidos[MatchID],tPartidos[GL_Real],0)-_xlfn.XLOOKUP($C339,tPartidos[MatchID],tPartidos[GV_Real],0)),CONFIG!$C$6,0))))</f>
        <v/>
      </c>
    </row>
    <row r="340" spans="6:6">
      <c r="F340" t="str">
        <f>IF($C340="","",IF(NOT(_xlfn.XLOOKUP($C340,tPartidos[MatchID],tPartidos[Jugado],"No")="Sí"),0,IF(AND($D340=_xlfn.XLOOKUP($C340,tPartidos[MatchID],tPartidos[GL_Real],""),$E340=_xlfn.XLOOKUP($C340,tPartidos[MatchID],tPartidos[GV_Real],"")),CONFIG!$C$5,IF(SIGN($D340-$E340)=SIGN(_xlfn.XLOOKUP($C340,tPartidos[MatchID],tPartidos[GL_Real],0)-_xlfn.XLOOKUP($C340,tPartidos[MatchID],tPartidos[GV_Real],0)),CONFIG!$C$6,0))))</f>
        <v/>
      </c>
    </row>
    <row r="341" spans="6:6">
      <c r="F341" t="str">
        <f>IF($C341="","",IF(NOT(_xlfn.XLOOKUP($C341,tPartidos[MatchID],tPartidos[Jugado],"No")="Sí"),0,IF(AND($D341=_xlfn.XLOOKUP($C341,tPartidos[MatchID],tPartidos[GL_Real],""),$E341=_xlfn.XLOOKUP($C341,tPartidos[MatchID],tPartidos[GV_Real],"")),CONFIG!$C$5,IF(SIGN($D341-$E341)=SIGN(_xlfn.XLOOKUP($C341,tPartidos[MatchID],tPartidos[GL_Real],0)-_xlfn.XLOOKUP($C341,tPartidos[MatchID],tPartidos[GV_Real],0)),CONFIG!$C$6,0))))</f>
        <v/>
      </c>
    </row>
    <row r="342" spans="6:6">
      <c r="F342" t="str">
        <f>IF($C342="","",IF(NOT(_xlfn.XLOOKUP($C342,tPartidos[MatchID],tPartidos[Jugado],"No")="Sí"),0,IF(AND($D342=_xlfn.XLOOKUP($C342,tPartidos[MatchID],tPartidos[GL_Real],""),$E342=_xlfn.XLOOKUP($C342,tPartidos[MatchID],tPartidos[GV_Real],"")),CONFIG!$C$5,IF(SIGN($D342-$E342)=SIGN(_xlfn.XLOOKUP($C342,tPartidos[MatchID],tPartidos[GL_Real],0)-_xlfn.XLOOKUP($C342,tPartidos[MatchID],tPartidos[GV_Real],0)),CONFIG!$C$6,0))))</f>
        <v/>
      </c>
    </row>
    <row r="343" spans="6:6">
      <c r="F343" t="str">
        <f>IF($C343="","",IF(NOT(_xlfn.XLOOKUP($C343,tPartidos[MatchID],tPartidos[Jugado],"No")="Sí"),0,IF(AND($D343=_xlfn.XLOOKUP($C343,tPartidos[MatchID],tPartidos[GL_Real],""),$E343=_xlfn.XLOOKUP($C343,tPartidos[MatchID],tPartidos[GV_Real],"")),CONFIG!$C$5,IF(SIGN($D343-$E343)=SIGN(_xlfn.XLOOKUP($C343,tPartidos[MatchID],tPartidos[GL_Real],0)-_xlfn.XLOOKUP($C343,tPartidos[MatchID],tPartidos[GV_Real],0)),CONFIG!$C$6,0))))</f>
        <v/>
      </c>
    </row>
    <row r="344" spans="6:6">
      <c r="F344" t="str">
        <f>IF($C344="","",IF(NOT(_xlfn.XLOOKUP($C344,tPartidos[MatchID],tPartidos[Jugado],"No")="Sí"),0,IF(AND($D344=_xlfn.XLOOKUP($C344,tPartidos[MatchID],tPartidos[GL_Real],""),$E344=_xlfn.XLOOKUP($C344,tPartidos[MatchID],tPartidos[GV_Real],"")),CONFIG!$C$5,IF(SIGN($D344-$E344)=SIGN(_xlfn.XLOOKUP($C344,tPartidos[MatchID],tPartidos[GL_Real],0)-_xlfn.XLOOKUP($C344,tPartidos[MatchID],tPartidos[GV_Real],0)),CONFIG!$C$6,0))))</f>
        <v/>
      </c>
    </row>
    <row r="345" spans="6:6">
      <c r="F345" t="str">
        <f>IF($C345="","",IF(NOT(_xlfn.XLOOKUP($C345,tPartidos[MatchID],tPartidos[Jugado],"No")="Sí"),0,IF(AND($D345=_xlfn.XLOOKUP($C345,tPartidos[MatchID],tPartidos[GL_Real],""),$E345=_xlfn.XLOOKUP($C345,tPartidos[MatchID],tPartidos[GV_Real],"")),CONFIG!$C$5,IF(SIGN($D345-$E345)=SIGN(_xlfn.XLOOKUP($C345,tPartidos[MatchID],tPartidos[GL_Real],0)-_xlfn.XLOOKUP($C345,tPartidos[MatchID],tPartidos[GV_Real],0)),CONFIG!$C$6,0))))</f>
        <v/>
      </c>
    </row>
    <row r="346" spans="6:6">
      <c r="F346" t="str">
        <f>IF($C346="","",IF(NOT(_xlfn.XLOOKUP($C346,tPartidos[MatchID],tPartidos[Jugado],"No")="Sí"),0,IF(AND($D346=_xlfn.XLOOKUP($C346,tPartidos[MatchID],tPartidos[GL_Real],""),$E346=_xlfn.XLOOKUP($C346,tPartidos[MatchID],tPartidos[GV_Real],"")),CONFIG!$C$5,IF(SIGN($D346-$E346)=SIGN(_xlfn.XLOOKUP($C346,tPartidos[MatchID],tPartidos[GL_Real],0)-_xlfn.XLOOKUP($C346,tPartidos[MatchID],tPartidos[GV_Real],0)),CONFIG!$C$6,0))))</f>
        <v/>
      </c>
    </row>
    <row r="347" spans="6:6">
      <c r="F347" t="str">
        <f>IF($C347="","",IF(NOT(_xlfn.XLOOKUP($C347,tPartidos[MatchID],tPartidos[Jugado],"No")="Sí"),0,IF(AND($D347=_xlfn.XLOOKUP($C347,tPartidos[MatchID],tPartidos[GL_Real],""),$E347=_xlfn.XLOOKUP($C347,tPartidos[MatchID],tPartidos[GV_Real],"")),CONFIG!$C$5,IF(SIGN($D347-$E347)=SIGN(_xlfn.XLOOKUP($C347,tPartidos[MatchID],tPartidos[GL_Real],0)-_xlfn.XLOOKUP($C347,tPartidos[MatchID],tPartidos[GV_Real],0)),CONFIG!$C$6,0))))</f>
        <v/>
      </c>
    </row>
    <row r="348" spans="6:6">
      <c r="F348" t="str">
        <f>IF($C348="","",IF(NOT(_xlfn.XLOOKUP($C348,tPartidos[MatchID],tPartidos[Jugado],"No")="Sí"),0,IF(AND($D348=_xlfn.XLOOKUP($C348,tPartidos[MatchID],tPartidos[GL_Real],""),$E348=_xlfn.XLOOKUP($C348,tPartidos[MatchID],tPartidos[GV_Real],"")),CONFIG!$C$5,IF(SIGN($D348-$E348)=SIGN(_xlfn.XLOOKUP($C348,tPartidos[MatchID],tPartidos[GL_Real],0)-_xlfn.XLOOKUP($C348,tPartidos[MatchID],tPartidos[GV_Real],0)),CONFIG!$C$6,0))))</f>
        <v/>
      </c>
    </row>
    <row r="349" spans="6:6">
      <c r="F349" t="str">
        <f>IF($C349="","",IF(NOT(_xlfn.XLOOKUP($C349,tPartidos[MatchID],tPartidos[Jugado],"No")="Sí"),0,IF(AND($D349=_xlfn.XLOOKUP($C349,tPartidos[MatchID],tPartidos[GL_Real],""),$E349=_xlfn.XLOOKUP($C349,tPartidos[MatchID],tPartidos[GV_Real],"")),CONFIG!$C$5,IF(SIGN($D349-$E349)=SIGN(_xlfn.XLOOKUP($C349,tPartidos[MatchID],tPartidos[GL_Real],0)-_xlfn.XLOOKUP($C349,tPartidos[MatchID],tPartidos[GV_Real],0)),CONFIG!$C$6,0))))</f>
        <v/>
      </c>
    </row>
    <row r="350" spans="6:6">
      <c r="F350" t="str">
        <f>IF($C350="","",IF(NOT(_xlfn.XLOOKUP($C350,tPartidos[MatchID],tPartidos[Jugado],"No")="Sí"),0,IF(AND($D350=_xlfn.XLOOKUP($C350,tPartidos[MatchID],tPartidos[GL_Real],""),$E350=_xlfn.XLOOKUP($C350,tPartidos[MatchID],tPartidos[GV_Real],"")),CONFIG!$C$5,IF(SIGN($D350-$E350)=SIGN(_xlfn.XLOOKUP($C350,tPartidos[MatchID],tPartidos[GL_Real],0)-_xlfn.XLOOKUP($C350,tPartidos[MatchID],tPartidos[GV_Real],0)),CONFIG!$C$6,0))))</f>
        <v/>
      </c>
    </row>
    <row r="351" spans="6:6">
      <c r="F351" t="str">
        <f>IF($C351="","",IF(NOT(_xlfn.XLOOKUP($C351,tPartidos[MatchID],tPartidos[Jugado],"No")="Sí"),0,IF(AND($D351=_xlfn.XLOOKUP($C351,tPartidos[MatchID],tPartidos[GL_Real],""),$E351=_xlfn.XLOOKUP($C351,tPartidos[MatchID],tPartidos[GV_Real],"")),CONFIG!$C$5,IF(SIGN($D351-$E351)=SIGN(_xlfn.XLOOKUP($C351,tPartidos[MatchID],tPartidos[GL_Real],0)-_xlfn.XLOOKUP($C351,tPartidos[MatchID],tPartidos[GV_Real],0)),CONFIG!$C$6,0))))</f>
        <v/>
      </c>
    </row>
    <row r="352" spans="6:6">
      <c r="F352" t="str">
        <f>IF($C352="","",IF(NOT(_xlfn.XLOOKUP($C352,tPartidos[MatchID],tPartidos[Jugado],"No")="Sí"),0,IF(AND($D352=_xlfn.XLOOKUP($C352,tPartidos[MatchID],tPartidos[GL_Real],""),$E352=_xlfn.XLOOKUP($C352,tPartidos[MatchID],tPartidos[GV_Real],"")),CONFIG!$C$5,IF(SIGN($D352-$E352)=SIGN(_xlfn.XLOOKUP($C352,tPartidos[MatchID],tPartidos[GL_Real],0)-_xlfn.XLOOKUP($C352,tPartidos[MatchID],tPartidos[GV_Real],0)),CONFIG!$C$6,0))))</f>
        <v/>
      </c>
    </row>
    <row r="353" spans="6:6">
      <c r="F353" t="str">
        <f>IF($C353="","",IF(NOT(_xlfn.XLOOKUP($C353,tPartidos[MatchID],tPartidos[Jugado],"No")="Sí"),0,IF(AND($D353=_xlfn.XLOOKUP($C353,tPartidos[MatchID],tPartidos[GL_Real],""),$E353=_xlfn.XLOOKUP($C353,tPartidos[MatchID],tPartidos[GV_Real],"")),CONFIG!$C$5,IF(SIGN($D353-$E353)=SIGN(_xlfn.XLOOKUP($C353,tPartidos[MatchID],tPartidos[GL_Real],0)-_xlfn.XLOOKUP($C353,tPartidos[MatchID],tPartidos[GV_Real],0)),CONFIG!$C$6,0))))</f>
        <v/>
      </c>
    </row>
    <row r="354" spans="6:6">
      <c r="F354" t="str">
        <f>IF($C354="","",IF(NOT(_xlfn.XLOOKUP($C354,tPartidos[MatchID],tPartidos[Jugado],"No")="Sí"),0,IF(AND($D354=_xlfn.XLOOKUP($C354,tPartidos[MatchID],tPartidos[GL_Real],""),$E354=_xlfn.XLOOKUP($C354,tPartidos[MatchID],tPartidos[GV_Real],"")),CONFIG!$C$5,IF(SIGN($D354-$E354)=SIGN(_xlfn.XLOOKUP($C354,tPartidos[MatchID],tPartidos[GL_Real],0)-_xlfn.XLOOKUP($C354,tPartidos[MatchID],tPartidos[GV_Real],0)),CONFIG!$C$6,0))))</f>
        <v/>
      </c>
    </row>
    <row r="355" spans="6:6">
      <c r="F355" t="str">
        <f>IF($C355="","",IF(NOT(_xlfn.XLOOKUP($C355,tPartidos[MatchID],tPartidos[Jugado],"No")="Sí"),0,IF(AND($D355=_xlfn.XLOOKUP($C355,tPartidos[MatchID],tPartidos[GL_Real],""),$E355=_xlfn.XLOOKUP($C355,tPartidos[MatchID],tPartidos[GV_Real],"")),CONFIG!$C$5,IF(SIGN($D355-$E355)=SIGN(_xlfn.XLOOKUP($C355,tPartidos[MatchID],tPartidos[GL_Real],0)-_xlfn.XLOOKUP($C355,tPartidos[MatchID],tPartidos[GV_Real],0)),CONFIG!$C$6,0))))</f>
        <v/>
      </c>
    </row>
    <row r="356" spans="6:6">
      <c r="F356" t="str">
        <f>IF($C356="","",IF(NOT(_xlfn.XLOOKUP($C356,tPartidos[MatchID],tPartidos[Jugado],"No")="Sí"),0,IF(AND($D356=_xlfn.XLOOKUP($C356,tPartidos[MatchID],tPartidos[GL_Real],""),$E356=_xlfn.XLOOKUP($C356,tPartidos[MatchID],tPartidos[GV_Real],"")),CONFIG!$C$5,IF(SIGN($D356-$E356)=SIGN(_xlfn.XLOOKUP($C356,tPartidos[MatchID],tPartidos[GL_Real],0)-_xlfn.XLOOKUP($C356,tPartidos[MatchID],tPartidos[GV_Real],0)),CONFIG!$C$6,0))))</f>
        <v/>
      </c>
    </row>
    <row r="357" spans="6:6">
      <c r="F357" t="str">
        <f>IF($C357="","",IF(NOT(_xlfn.XLOOKUP($C357,tPartidos[MatchID],tPartidos[Jugado],"No")="Sí"),0,IF(AND($D357=_xlfn.XLOOKUP($C357,tPartidos[MatchID],tPartidos[GL_Real],""),$E357=_xlfn.XLOOKUP($C357,tPartidos[MatchID],tPartidos[GV_Real],"")),CONFIG!$C$5,IF(SIGN($D357-$E357)=SIGN(_xlfn.XLOOKUP($C357,tPartidos[MatchID],tPartidos[GL_Real],0)-_xlfn.XLOOKUP($C357,tPartidos[MatchID],tPartidos[GV_Real],0)),CONFIG!$C$6,0))))</f>
        <v/>
      </c>
    </row>
    <row r="358" spans="6:6">
      <c r="F358" t="str">
        <f>IF($C358="","",IF(NOT(_xlfn.XLOOKUP($C358,tPartidos[MatchID],tPartidos[Jugado],"No")="Sí"),0,IF(AND($D358=_xlfn.XLOOKUP($C358,tPartidos[MatchID],tPartidos[GL_Real],""),$E358=_xlfn.XLOOKUP($C358,tPartidos[MatchID],tPartidos[GV_Real],"")),CONFIG!$C$5,IF(SIGN($D358-$E358)=SIGN(_xlfn.XLOOKUP($C358,tPartidos[MatchID],tPartidos[GL_Real],0)-_xlfn.XLOOKUP($C358,tPartidos[MatchID],tPartidos[GV_Real],0)),CONFIG!$C$6,0))))</f>
        <v/>
      </c>
    </row>
    <row r="359" spans="6:6">
      <c r="F359" t="str">
        <f>IF($C359="","",IF(NOT(_xlfn.XLOOKUP($C359,tPartidos[MatchID],tPartidos[Jugado],"No")="Sí"),0,IF(AND($D359=_xlfn.XLOOKUP($C359,tPartidos[MatchID],tPartidos[GL_Real],""),$E359=_xlfn.XLOOKUP($C359,tPartidos[MatchID],tPartidos[GV_Real],"")),CONFIG!$C$5,IF(SIGN($D359-$E359)=SIGN(_xlfn.XLOOKUP($C359,tPartidos[MatchID],tPartidos[GL_Real],0)-_xlfn.XLOOKUP($C359,tPartidos[MatchID],tPartidos[GV_Real],0)),CONFIG!$C$6,0))))</f>
        <v/>
      </c>
    </row>
    <row r="360" spans="6:6">
      <c r="F360" t="str">
        <f>IF($C360="","",IF(NOT(_xlfn.XLOOKUP($C360,tPartidos[MatchID],tPartidos[Jugado],"No")="Sí"),0,IF(AND($D360=_xlfn.XLOOKUP($C360,tPartidos[MatchID],tPartidos[GL_Real],""),$E360=_xlfn.XLOOKUP($C360,tPartidos[MatchID],tPartidos[GV_Real],"")),CONFIG!$C$5,IF(SIGN($D360-$E360)=SIGN(_xlfn.XLOOKUP($C360,tPartidos[MatchID],tPartidos[GL_Real],0)-_xlfn.XLOOKUP($C360,tPartidos[MatchID],tPartidos[GV_Real],0)),CONFIG!$C$6,0))))</f>
        <v/>
      </c>
    </row>
    <row r="361" spans="6:6">
      <c r="F361" t="str">
        <f>IF($C361="","",IF(NOT(_xlfn.XLOOKUP($C361,tPartidos[MatchID],tPartidos[Jugado],"No")="Sí"),0,IF(AND($D361=_xlfn.XLOOKUP($C361,tPartidos[MatchID],tPartidos[GL_Real],""),$E361=_xlfn.XLOOKUP($C361,tPartidos[MatchID],tPartidos[GV_Real],"")),CONFIG!$C$5,IF(SIGN($D361-$E361)=SIGN(_xlfn.XLOOKUP($C361,tPartidos[MatchID],tPartidos[GL_Real],0)-_xlfn.XLOOKUP($C361,tPartidos[MatchID],tPartidos[GV_Real],0)),CONFIG!$C$6,0))))</f>
        <v/>
      </c>
    </row>
    <row r="362" spans="6:6">
      <c r="F362" t="str">
        <f>IF($C362="","",IF(NOT(_xlfn.XLOOKUP($C362,tPartidos[MatchID],tPartidos[Jugado],"No")="Sí"),0,IF(AND($D362=_xlfn.XLOOKUP($C362,tPartidos[MatchID],tPartidos[GL_Real],""),$E362=_xlfn.XLOOKUP($C362,tPartidos[MatchID],tPartidos[GV_Real],"")),CONFIG!$C$5,IF(SIGN($D362-$E362)=SIGN(_xlfn.XLOOKUP($C362,tPartidos[MatchID],tPartidos[GL_Real],0)-_xlfn.XLOOKUP($C362,tPartidos[MatchID],tPartidos[GV_Real],0)),CONFIG!$C$6,0))))</f>
        <v/>
      </c>
    </row>
    <row r="363" spans="6:6">
      <c r="F363" t="str">
        <f>IF($C363="","",IF(NOT(_xlfn.XLOOKUP($C363,tPartidos[MatchID],tPartidos[Jugado],"No")="Sí"),0,IF(AND($D363=_xlfn.XLOOKUP($C363,tPartidos[MatchID],tPartidos[GL_Real],""),$E363=_xlfn.XLOOKUP($C363,tPartidos[MatchID],tPartidos[GV_Real],"")),CONFIG!$C$5,IF(SIGN($D363-$E363)=SIGN(_xlfn.XLOOKUP($C363,tPartidos[MatchID],tPartidos[GL_Real],0)-_xlfn.XLOOKUP($C363,tPartidos[MatchID],tPartidos[GV_Real],0)),CONFIG!$C$6,0))))</f>
        <v/>
      </c>
    </row>
    <row r="364" spans="6:6">
      <c r="F364" t="str">
        <f>IF($C364="","",IF(NOT(_xlfn.XLOOKUP($C364,tPartidos[MatchID],tPartidos[Jugado],"No")="Sí"),0,IF(AND($D364=_xlfn.XLOOKUP($C364,tPartidos[MatchID],tPartidos[GL_Real],""),$E364=_xlfn.XLOOKUP($C364,tPartidos[MatchID],tPartidos[GV_Real],"")),CONFIG!$C$5,IF(SIGN($D364-$E364)=SIGN(_xlfn.XLOOKUP($C364,tPartidos[MatchID],tPartidos[GL_Real],0)-_xlfn.XLOOKUP($C364,tPartidos[MatchID],tPartidos[GV_Real],0)),CONFIG!$C$6,0))))</f>
        <v/>
      </c>
    </row>
    <row r="365" spans="6:6">
      <c r="F365" t="str">
        <f>IF($C365="","",IF(NOT(_xlfn.XLOOKUP($C365,tPartidos[MatchID],tPartidos[Jugado],"No")="Sí"),0,IF(AND($D365=_xlfn.XLOOKUP($C365,tPartidos[MatchID],tPartidos[GL_Real],""),$E365=_xlfn.XLOOKUP($C365,tPartidos[MatchID],tPartidos[GV_Real],"")),CONFIG!$C$5,IF(SIGN($D365-$E365)=SIGN(_xlfn.XLOOKUP($C365,tPartidos[MatchID],tPartidos[GL_Real],0)-_xlfn.XLOOKUP($C365,tPartidos[MatchID],tPartidos[GV_Real],0)),CONFIG!$C$6,0))))</f>
        <v/>
      </c>
    </row>
    <row r="366" spans="6:6">
      <c r="F366" t="str">
        <f>IF($C366="","",IF(NOT(_xlfn.XLOOKUP($C366,tPartidos[MatchID],tPartidos[Jugado],"No")="Sí"),0,IF(AND($D366=_xlfn.XLOOKUP($C366,tPartidos[MatchID],tPartidos[GL_Real],""),$E366=_xlfn.XLOOKUP($C366,tPartidos[MatchID],tPartidos[GV_Real],"")),CONFIG!$C$5,IF(SIGN($D366-$E366)=SIGN(_xlfn.XLOOKUP($C366,tPartidos[MatchID],tPartidos[GL_Real],0)-_xlfn.XLOOKUP($C366,tPartidos[MatchID],tPartidos[GV_Real],0)),CONFIG!$C$6,0))))</f>
        <v/>
      </c>
    </row>
    <row r="367" spans="6:6">
      <c r="F367" t="str">
        <f>IF($C367="","",IF(NOT(_xlfn.XLOOKUP($C367,tPartidos[MatchID],tPartidos[Jugado],"No")="Sí"),0,IF(AND($D367=_xlfn.XLOOKUP($C367,tPartidos[MatchID],tPartidos[GL_Real],""),$E367=_xlfn.XLOOKUP($C367,tPartidos[MatchID],tPartidos[GV_Real],"")),CONFIG!$C$5,IF(SIGN($D367-$E367)=SIGN(_xlfn.XLOOKUP($C367,tPartidos[MatchID],tPartidos[GL_Real],0)-_xlfn.XLOOKUP($C367,tPartidos[MatchID],tPartidos[GV_Real],0)),CONFIG!$C$6,0))))</f>
        <v/>
      </c>
    </row>
    <row r="368" spans="6:6">
      <c r="F368" t="str">
        <f>IF($C368="","",IF(NOT(_xlfn.XLOOKUP($C368,tPartidos[MatchID],tPartidos[Jugado],"No")="Sí"),0,IF(AND($D368=_xlfn.XLOOKUP($C368,tPartidos[MatchID],tPartidos[GL_Real],""),$E368=_xlfn.XLOOKUP($C368,tPartidos[MatchID],tPartidos[GV_Real],"")),CONFIG!$C$5,IF(SIGN($D368-$E368)=SIGN(_xlfn.XLOOKUP($C368,tPartidos[MatchID],tPartidos[GL_Real],0)-_xlfn.XLOOKUP($C368,tPartidos[MatchID],tPartidos[GV_Real],0)),CONFIG!$C$6,0))))</f>
        <v/>
      </c>
    </row>
    <row r="369" spans="6:6">
      <c r="F369" t="str">
        <f>IF($C369="","",IF(NOT(_xlfn.XLOOKUP($C369,tPartidos[MatchID],tPartidos[Jugado],"No")="Sí"),0,IF(AND($D369=_xlfn.XLOOKUP($C369,tPartidos[MatchID],tPartidos[GL_Real],""),$E369=_xlfn.XLOOKUP($C369,tPartidos[MatchID],tPartidos[GV_Real],"")),CONFIG!$C$5,IF(SIGN($D369-$E369)=SIGN(_xlfn.XLOOKUP($C369,tPartidos[MatchID],tPartidos[GL_Real],0)-_xlfn.XLOOKUP($C369,tPartidos[MatchID],tPartidos[GV_Real],0)),CONFIG!$C$6,0))))</f>
        <v/>
      </c>
    </row>
    <row r="370" spans="6:6">
      <c r="F370" t="str">
        <f>IF($C370="","",IF(NOT(_xlfn.XLOOKUP($C370,tPartidos[MatchID],tPartidos[Jugado],"No")="Sí"),0,IF(AND($D370=_xlfn.XLOOKUP($C370,tPartidos[MatchID],tPartidos[GL_Real],""),$E370=_xlfn.XLOOKUP($C370,tPartidos[MatchID],tPartidos[GV_Real],"")),CONFIG!$C$5,IF(SIGN($D370-$E370)=SIGN(_xlfn.XLOOKUP($C370,tPartidos[MatchID],tPartidos[GL_Real],0)-_xlfn.XLOOKUP($C370,tPartidos[MatchID],tPartidos[GV_Real],0)),CONFIG!$C$6,0))))</f>
        <v/>
      </c>
    </row>
    <row r="371" spans="6:6">
      <c r="F371" t="str">
        <f>IF($C371="","",IF(NOT(_xlfn.XLOOKUP($C371,tPartidos[MatchID],tPartidos[Jugado],"No")="Sí"),0,IF(AND($D371=_xlfn.XLOOKUP($C371,tPartidos[MatchID],tPartidos[GL_Real],""),$E371=_xlfn.XLOOKUP($C371,tPartidos[MatchID],tPartidos[GV_Real],"")),CONFIG!$C$5,IF(SIGN($D371-$E371)=SIGN(_xlfn.XLOOKUP($C371,tPartidos[MatchID],tPartidos[GL_Real],0)-_xlfn.XLOOKUP($C371,tPartidos[MatchID],tPartidos[GV_Real],0)),CONFIG!$C$6,0))))</f>
        <v/>
      </c>
    </row>
    <row r="372" spans="6:6">
      <c r="F372" t="str">
        <f>IF($C372="","",IF(NOT(_xlfn.XLOOKUP($C372,tPartidos[MatchID],tPartidos[Jugado],"No")="Sí"),0,IF(AND($D372=_xlfn.XLOOKUP($C372,tPartidos[MatchID],tPartidos[GL_Real],""),$E372=_xlfn.XLOOKUP($C372,tPartidos[MatchID],tPartidos[GV_Real],"")),CONFIG!$C$5,IF(SIGN($D372-$E372)=SIGN(_xlfn.XLOOKUP($C372,tPartidos[MatchID],tPartidos[GL_Real],0)-_xlfn.XLOOKUP($C372,tPartidos[MatchID],tPartidos[GV_Real],0)),CONFIG!$C$6,0))))</f>
        <v/>
      </c>
    </row>
    <row r="373" spans="6:6">
      <c r="F373" t="str">
        <f>IF($C373="","",IF(NOT(_xlfn.XLOOKUP($C373,tPartidos[MatchID],tPartidos[Jugado],"No")="Sí"),0,IF(AND($D373=_xlfn.XLOOKUP($C373,tPartidos[MatchID],tPartidos[GL_Real],""),$E373=_xlfn.XLOOKUP($C373,tPartidos[MatchID],tPartidos[GV_Real],"")),CONFIG!$C$5,IF(SIGN($D373-$E373)=SIGN(_xlfn.XLOOKUP($C373,tPartidos[MatchID],tPartidos[GL_Real],0)-_xlfn.XLOOKUP($C373,tPartidos[MatchID],tPartidos[GV_Real],0)),CONFIG!$C$6,0))))</f>
        <v/>
      </c>
    </row>
    <row r="374" spans="6:6">
      <c r="F374" t="str">
        <f>IF($C374="","",IF(NOT(_xlfn.XLOOKUP($C374,tPartidos[MatchID],tPartidos[Jugado],"No")="Sí"),0,IF(AND($D374=_xlfn.XLOOKUP($C374,tPartidos[MatchID],tPartidos[GL_Real],""),$E374=_xlfn.XLOOKUP($C374,tPartidos[MatchID],tPartidos[GV_Real],"")),CONFIG!$C$5,IF(SIGN($D374-$E374)=SIGN(_xlfn.XLOOKUP($C374,tPartidos[MatchID],tPartidos[GL_Real],0)-_xlfn.XLOOKUP($C374,tPartidos[MatchID],tPartidos[GV_Real],0)),CONFIG!$C$6,0))))</f>
        <v/>
      </c>
    </row>
    <row r="375" spans="6:6">
      <c r="F375" t="str">
        <f>IF($C375="","",IF(NOT(_xlfn.XLOOKUP($C375,tPartidos[MatchID],tPartidos[Jugado],"No")="Sí"),0,IF(AND($D375=_xlfn.XLOOKUP($C375,tPartidos[MatchID],tPartidos[GL_Real],""),$E375=_xlfn.XLOOKUP($C375,tPartidos[MatchID],tPartidos[GV_Real],"")),CONFIG!$C$5,IF(SIGN($D375-$E375)=SIGN(_xlfn.XLOOKUP($C375,tPartidos[MatchID],tPartidos[GL_Real],0)-_xlfn.XLOOKUP($C375,tPartidos[MatchID],tPartidos[GV_Real],0)),CONFIG!$C$6,0))))</f>
        <v/>
      </c>
    </row>
    <row r="376" spans="6:6">
      <c r="F376" t="str">
        <f>IF($C376="","",IF(NOT(_xlfn.XLOOKUP($C376,tPartidos[MatchID],tPartidos[Jugado],"No")="Sí"),0,IF(AND($D376=_xlfn.XLOOKUP($C376,tPartidos[MatchID],tPartidos[GL_Real],""),$E376=_xlfn.XLOOKUP($C376,tPartidos[MatchID],tPartidos[GV_Real],"")),CONFIG!$C$5,IF(SIGN($D376-$E376)=SIGN(_xlfn.XLOOKUP($C376,tPartidos[MatchID],tPartidos[GL_Real],0)-_xlfn.XLOOKUP($C376,tPartidos[MatchID],tPartidos[GV_Real],0)),CONFIG!$C$6,0))))</f>
        <v/>
      </c>
    </row>
    <row r="377" spans="6:6">
      <c r="F377" t="str">
        <f>IF($C377="","",IF(NOT(_xlfn.XLOOKUP($C377,tPartidos[MatchID],tPartidos[Jugado],"No")="Sí"),0,IF(AND($D377=_xlfn.XLOOKUP($C377,tPartidos[MatchID],tPartidos[GL_Real],""),$E377=_xlfn.XLOOKUP($C377,tPartidos[MatchID],tPartidos[GV_Real],"")),CONFIG!$C$5,IF(SIGN($D377-$E377)=SIGN(_xlfn.XLOOKUP($C377,tPartidos[MatchID],tPartidos[GL_Real],0)-_xlfn.XLOOKUP($C377,tPartidos[MatchID],tPartidos[GV_Real],0)),CONFIG!$C$6,0))))</f>
        <v/>
      </c>
    </row>
    <row r="378" spans="6:6">
      <c r="F378" t="str">
        <f>IF($C378="","",IF(NOT(_xlfn.XLOOKUP($C378,tPartidos[MatchID],tPartidos[Jugado],"No")="Sí"),0,IF(AND($D378=_xlfn.XLOOKUP($C378,tPartidos[MatchID],tPartidos[GL_Real],""),$E378=_xlfn.XLOOKUP($C378,tPartidos[MatchID],tPartidos[GV_Real],"")),CONFIG!$C$5,IF(SIGN($D378-$E378)=SIGN(_xlfn.XLOOKUP($C378,tPartidos[MatchID],tPartidos[GL_Real],0)-_xlfn.XLOOKUP($C378,tPartidos[MatchID],tPartidos[GV_Real],0)),CONFIG!$C$6,0))))</f>
        <v/>
      </c>
    </row>
    <row r="379" spans="6:6">
      <c r="F379" t="str">
        <f>IF($C379="","",IF(NOT(_xlfn.XLOOKUP($C379,tPartidos[MatchID],tPartidos[Jugado],"No")="Sí"),0,IF(AND($D379=_xlfn.XLOOKUP($C379,tPartidos[MatchID],tPartidos[GL_Real],""),$E379=_xlfn.XLOOKUP($C379,tPartidos[MatchID],tPartidos[GV_Real],"")),CONFIG!$C$5,IF(SIGN($D379-$E379)=SIGN(_xlfn.XLOOKUP($C379,tPartidos[MatchID],tPartidos[GL_Real],0)-_xlfn.XLOOKUP($C379,tPartidos[MatchID],tPartidos[GV_Real],0)),CONFIG!$C$6,0))))</f>
        <v/>
      </c>
    </row>
    <row r="380" spans="6:6">
      <c r="F380" t="str">
        <f>IF($C380="","",IF(NOT(_xlfn.XLOOKUP($C380,tPartidos[MatchID],tPartidos[Jugado],"No")="Sí"),0,IF(AND($D380=_xlfn.XLOOKUP($C380,tPartidos[MatchID],tPartidos[GL_Real],""),$E380=_xlfn.XLOOKUP($C380,tPartidos[MatchID],tPartidos[GV_Real],"")),CONFIG!$C$5,IF(SIGN($D380-$E380)=SIGN(_xlfn.XLOOKUP($C380,tPartidos[MatchID],tPartidos[GL_Real],0)-_xlfn.XLOOKUP($C380,tPartidos[MatchID],tPartidos[GV_Real],0)),CONFIG!$C$6,0))))</f>
        <v/>
      </c>
    </row>
    <row r="381" spans="6:6">
      <c r="F381" t="str">
        <f>IF($C381="","",IF(NOT(_xlfn.XLOOKUP($C381,tPartidos[MatchID],tPartidos[Jugado],"No")="Sí"),0,IF(AND($D381=_xlfn.XLOOKUP($C381,tPartidos[MatchID],tPartidos[GL_Real],""),$E381=_xlfn.XLOOKUP($C381,tPartidos[MatchID],tPartidos[GV_Real],"")),CONFIG!$C$5,IF(SIGN($D381-$E381)=SIGN(_xlfn.XLOOKUP($C381,tPartidos[MatchID],tPartidos[GL_Real],0)-_xlfn.XLOOKUP($C381,tPartidos[MatchID],tPartidos[GV_Real],0)),CONFIG!$C$6,0))))</f>
        <v/>
      </c>
    </row>
    <row r="382" spans="6:6">
      <c r="F382" t="str">
        <f>IF($C382="","",IF(NOT(_xlfn.XLOOKUP($C382,tPartidos[MatchID],tPartidos[Jugado],"No")="Sí"),0,IF(AND($D382=_xlfn.XLOOKUP($C382,tPartidos[MatchID],tPartidos[GL_Real],""),$E382=_xlfn.XLOOKUP($C382,tPartidos[MatchID],tPartidos[GV_Real],"")),CONFIG!$C$5,IF(SIGN($D382-$E382)=SIGN(_xlfn.XLOOKUP($C382,tPartidos[MatchID],tPartidos[GL_Real],0)-_xlfn.XLOOKUP($C382,tPartidos[MatchID],tPartidos[GV_Real],0)),CONFIG!$C$6,0))))</f>
        <v/>
      </c>
    </row>
    <row r="383" spans="6:6">
      <c r="F383" t="str">
        <f>IF($C383="","",IF(NOT(_xlfn.XLOOKUP($C383,tPartidos[MatchID],tPartidos[Jugado],"No")="Sí"),0,IF(AND($D383=_xlfn.XLOOKUP($C383,tPartidos[MatchID],tPartidos[GL_Real],""),$E383=_xlfn.XLOOKUP($C383,tPartidos[MatchID],tPartidos[GV_Real],"")),CONFIG!$C$5,IF(SIGN($D383-$E383)=SIGN(_xlfn.XLOOKUP($C383,tPartidos[MatchID],tPartidos[GL_Real],0)-_xlfn.XLOOKUP($C383,tPartidos[MatchID],tPartidos[GV_Real],0)),CONFIG!$C$6,0))))</f>
        <v/>
      </c>
    </row>
    <row r="384" spans="6:6">
      <c r="F384" t="str">
        <f>IF($C384="","",IF(NOT(_xlfn.XLOOKUP($C384,tPartidos[MatchID],tPartidos[Jugado],"No")="Sí"),0,IF(AND($D384=_xlfn.XLOOKUP($C384,tPartidos[MatchID],tPartidos[GL_Real],""),$E384=_xlfn.XLOOKUP($C384,tPartidos[MatchID],tPartidos[GV_Real],"")),CONFIG!$C$5,IF(SIGN($D384-$E384)=SIGN(_xlfn.XLOOKUP($C384,tPartidos[MatchID],tPartidos[GL_Real],0)-_xlfn.XLOOKUP($C384,tPartidos[MatchID],tPartidos[GV_Real],0)),CONFIG!$C$6,0))))</f>
        <v/>
      </c>
    </row>
    <row r="385" spans="6:6">
      <c r="F385" t="str">
        <f>IF($C385="","",IF(NOT(_xlfn.XLOOKUP($C385,tPartidos[MatchID],tPartidos[Jugado],"No")="Sí"),0,IF(AND($D385=_xlfn.XLOOKUP($C385,tPartidos[MatchID],tPartidos[GL_Real],""),$E385=_xlfn.XLOOKUP($C385,tPartidos[MatchID],tPartidos[GV_Real],"")),CONFIG!$C$5,IF(SIGN($D385-$E385)=SIGN(_xlfn.XLOOKUP($C385,tPartidos[MatchID],tPartidos[GL_Real],0)-_xlfn.XLOOKUP($C385,tPartidos[MatchID],tPartidos[GV_Real],0)),CONFIG!$C$6,0))))</f>
        <v/>
      </c>
    </row>
    <row r="386" spans="6:6">
      <c r="F386" t="str">
        <f>IF($C386="","",IF(NOT(_xlfn.XLOOKUP($C386,tPartidos[MatchID],tPartidos[Jugado],"No")="Sí"),0,IF(AND($D386=_xlfn.XLOOKUP($C386,tPartidos[MatchID],tPartidos[GL_Real],""),$E386=_xlfn.XLOOKUP($C386,tPartidos[MatchID],tPartidos[GV_Real],"")),CONFIG!$C$5,IF(SIGN($D386-$E386)=SIGN(_xlfn.XLOOKUP($C386,tPartidos[MatchID],tPartidos[GL_Real],0)-_xlfn.XLOOKUP($C386,tPartidos[MatchID],tPartidos[GV_Real],0)),CONFIG!$C$6,0))))</f>
        <v/>
      </c>
    </row>
    <row r="387" spans="6:6">
      <c r="F387" t="str">
        <f>IF($C387="","",IF(NOT(_xlfn.XLOOKUP($C387,tPartidos[MatchID],tPartidos[Jugado],"No")="Sí"),0,IF(AND($D387=_xlfn.XLOOKUP($C387,tPartidos[MatchID],tPartidos[GL_Real],""),$E387=_xlfn.XLOOKUP($C387,tPartidos[MatchID],tPartidos[GV_Real],"")),CONFIG!$C$5,IF(SIGN($D387-$E387)=SIGN(_xlfn.XLOOKUP($C387,tPartidos[MatchID],tPartidos[GL_Real],0)-_xlfn.XLOOKUP($C387,tPartidos[MatchID],tPartidos[GV_Real],0)),CONFIG!$C$6,0))))</f>
        <v/>
      </c>
    </row>
    <row r="388" spans="6:6">
      <c r="F388" t="str">
        <f>IF($C388="","",IF(NOT(_xlfn.XLOOKUP($C388,tPartidos[MatchID],tPartidos[Jugado],"No")="Sí"),0,IF(AND($D388=_xlfn.XLOOKUP($C388,tPartidos[MatchID],tPartidos[GL_Real],""),$E388=_xlfn.XLOOKUP($C388,tPartidos[MatchID],tPartidos[GV_Real],"")),CONFIG!$C$5,IF(SIGN($D388-$E388)=SIGN(_xlfn.XLOOKUP($C388,tPartidos[MatchID],tPartidos[GL_Real],0)-_xlfn.XLOOKUP($C388,tPartidos[MatchID],tPartidos[GV_Real],0)),CONFIG!$C$6,0))))</f>
        <v/>
      </c>
    </row>
    <row r="389" spans="6:6">
      <c r="F389" t="str">
        <f>IF($C389="","",IF(NOT(_xlfn.XLOOKUP($C389,tPartidos[MatchID],tPartidos[Jugado],"No")="Sí"),0,IF(AND($D389=_xlfn.XLOOKUP($C389,tPartidos[MatchID],tPartidos[GL_Real],""),$E389=_xlfn.XLOOKUP($C389,tPartidos[MatchID],tPartidos[GV_Real],"")),CONFIG!$C$5,IF(SIGN($D389-$E389)=SIGN(_xlfn.XLOOKUP($C389,tPartidos[MatchID],tPartidos[GL_Real],0)-_xlfn.XLOOKUP($C389,tPartidos[MatchID],tPartidos[GV_Real],0)),CONFIG!$C$6,0))))</f>
        <v/>
      </c>
    </row>
    <row r="390" spans="6:6">
      <c r="F390" t="str">
        <f>IF($C390="","",IF(NOT(_xlfn.XLOOKUP($C390,tPartidos[MatchID],tPartidos[Jugado],"No")="Sí"),0,IF(AND($D390=_xlfn.XLOOKUP($C390,tPartidos[MatchID],tPartidos[GL_Real],""),$E390=_xlfn.XLOOKUP($C390,tPartidos[MatchID],tPartidos[GV_Real],"")),CONFIG!$C$5,IF(SIGN($D390-$E390)=SIGN(_xlfn.XLOOKUP($C390,tPartidos[MatchID],tPartidos[GL_Real],0)-_xlfn.XLOOKUP($C390,tPartidos[MatchID],tPartidos[GV_Real],0)),CONFIG!$C$6,0))))</f>
        <v/>
      </c>
    </row>
    <row r="391" spans="6:6">
      <c r="F391" t="str">
        <f>IF($C391="","",IF(NOT(_xlfn.XLOOKUP($C391,tPartidos[MatchID],tPartidos[Jugado],"No")="Sí"),0,IF(AND($D391=_xlfn.XLOOKUP($C391,tPartidos[MatchID],tPartidos[GL_Real],""),$E391=_xlfn.XLOOKUP($C391,tPartidos[MatchID],tPartidos[GV_Real],"")),CONFIG!$C$5,IF(SIGN($D391-$E391)=SIGN(_xlfn.XLOOKUP($C391,tPartidos[MatchID],tPartidos[GL_Real],0)-_xlfn.XLOOKUP($C391,tPartidos[MatchID],tPartidos[GV_Real],0)),CONFIG!$C$6,0))))</f>
        <v/>
      </c>
    </row>
    <row r="392" spans="6:6">
      <c r="F392" t="str">
        <f>IF($C392="","",IF(NOT(_xlfn.XLOOKUP($C392,tPartidos[MatchID],tPartidos[Jugado],"No")="Sí"),0,IF(AND($D392=_xlfn.XLOOKUP($C392,tPartidos[MatchID],tPartidos[GL_Real],""),$E392=_xlfn.XLOOKUP($C392,tPartidos[MatchID],tPartidos[GV_Real],"")),CONFIG!$C$5,IF(SIGN($D392-$E392)=SIGN(_xlfn.XLOOKUP($C392,tPartidos[MatchID],tPartidos[GL_Real],0)-_xlfn.XLOOKUP($C392,tPartidos[MatchID],tPartidos[GV_Real],0)),CONFIG!$C$6,0))))</f>
        <v/>
      </c>
    </row>
    <row r="393" spans="6:6">
      <c r="F393" t="str">
        <f>IF($C393="","",IF(NOT(_xlfn.XLOOKUP($C393,tPartidos[MatchID],tPartidos[Jugado],"No")="Sí"),0,IF(AND($D393=_xlfn.XLOOKUP($C393,tPartidos[MatchID],tPartidos[GL_Real],""),$E393=_xlfn.XLOOKUP($C393,tPartidos[MatchID],tPartidos[GV_Real],"")),CONFIG!$C$5,IF(SIGN($D393-$E393)=SIGN(_xlfn.XLOOKUP($C393,tPartidos[MatchID],tPartidos[GL_Real],0)-_xlfn.XLOOKUP($C393,tPartidos[MatchID],tPartidos[GV_Real],0)),CONFIG!$C$6,0))))</f>
        <v/>
      </c>
    </row>
    <row r="394" spans="6:6">
      <c r="F394" t="str">
        <f>IF($C394="","",IF(NOT(_xlfn.XLOOKUP($C394,tPartidos[MatchID],tPartidos[Jugado],"No")="Sí"),0,IF(AND($D394=_xlfn.XLOOKUP($C394,tPartidos[MatchID],tPartidos[GL_Real],""),$E394=_xlfn.XLOOKUP($C394,tPartidos[MatchID],tPartidos[GV_Real],"")),CONFIG!$C$5,IF(SIGN($D394-$E394)=SIGN(_xlfn.XLOOKUP($C394,tPartidos[MatchID],tPartidos[GL_Real],0)-_xlfn.XLOOKUP($C394,tPartidos[MatchID],tPartidos[GV_Real],0)),CONFIG!$C$6,0))))</f>
        <v/>
      </c>
    </row>
    <row r="395" spans="6:6">
      <c r="F395" t="str">
        <f>IF($C395="","",IF(NOT(_xlfn.XLOOKUP($C395,tPartidos[MatchID],tPartidos[Jugado],"No")="Sí"),0,IF(AND($D395=_xlfn.XLOOKUP($C395,tPartidos[MatchID],tPartidos[GL_Real],""),$E395=_xlfn.XLOOKUP($C395,tPartidos[MatchID],tPartidos[GV_Real],"")),CONFIG!$C$5,IF(SIGN($D395-$E395)=SIGN(_xlfn.XLOOKUP($C395,tPartidos[MatchID],tPartidos[GL_Real],0)-_xlfn.XLOOKUP($C395,tPartidos[MatchID],tPartidos[GV_Real],0)),CONFIG!$C$6,0))))</f>
        <v/>
      </c>
    </row>
    <row r="396" spans="6:6">
      <c r="F396" t="str">
        <f>IF($C396="","",IF(NOT(_xlfn.XLOOKUP($C396,tPartidos[MatchID],tPartidos[Jugado],"No")="Sí"),0,IF(AND($D396=_xlfn.XLOOKUP($C396,tPartidos[MatchID],tPartidos[GL_Real],""),$E396=_xlfn.XLOOKUP($C396,tPartidos[MatchID],tPartidos[GV_Real],"")),CONFIG!$C$5,IF(SIGN($D396-$E396)=SIGN(_xlfn.XLOOKUP($C396,tPartidos[MatchID],tPartidos[GL_Real],0)-_xlfn.XLOOKUP($C396,tPartidos[MatchID],tPartidos[GV_Real],0)),CONFIG!$C$6,0))))</f>
        <v/>
      </c>
    </row>
    <row r="397" spans="6:6">
      <c r="F397" t="str">
        <f>IF($C397="","",IF(NOT(_xlfn.XLOOKUP($C397,tPartidos[MatchID],tPartidos[Jugado],"No")="Sí"),0,IF(AND($D397=_xlfn.XLOOKUP($C397,tPartidos[MatchID],tPartidos[GL_Real],""),$E397=_xlfn.XLOOKUP($C397,tPartidos[MatchID],tPartidos[GV_Real],"")),CONFIG!$C$5,IF(SIGN($D397-$E397)=SIGN(_xlfn.XLOOKUP($C397,tPartidos[MatchID],tPartidos[GL_Real],0)-_xlfn.XLOOKUP($C397,tPartidos[MatchID],tPartidos[GV_Real],0)),CONFIG!$C$6,0))))</f>
        <v/>
      </c>
    </row>
    <row r="398" spans="6:6">
      <c r="F398" t="str">
        <f>IF($C398="","",IF(NOT(_xlfn.XLOOKUP($C398,tPartidos[MatchID],tPartidos[Jugado],"No")="Sí"),0,IF(AND($D398=_xlfn.XLOOKUP($C398,tPartidos[MatchID],tPartidos[GL_Real],""),$E398=_xlfn.XLOOKUP($C398,tPartidos[MatchID],tPartidos[GV_Real],"")),CONFIG!$C$5,IF(SIGN($D398-$E398)=SIGN(_xlfn.XLOOKUP($C398,tPartidos[MatchID],tPartidos[GL_Real],0)-_xlfn.XLOOKUP($C398,tPartidos[MatchID],tPartidos[GV_Real],0)),CONFIG!$C$6,0))))</f>
        <v/>
      </c>
    </row>
    <row r="399" spans="6:6">
      <c r="F399" t="str">
        <f>IF($C399="","",IF(NOT(_xlfn.XLOOKUP($C399,tPartidos[MatchID],tPartidos[Jugado],"No")="Sí"),0,IF(AND($D399=_xlfn.XLOOKUP($C399,tPartidos[MatchID],tPartidos[GL_Real],""),$E399=_xlfn.XLOOKUP($C399,tPartidos[MatchID],tPartidos[GV_Real],"")),CONFIG!$C$5,IF(SIGN($D399-$E399)=SIGN(_xlfn.XLOOKUP($C399,tPartidos[MatchID],tPartidos[GL_Real],0)-_xlfn.XLOOKUP($C399,tPartidos[MatchID],tPartidos[GV_Real],0)),CONFIG!$C$6,0))))</f>
        <v/>
      </c>
    </row>
    <row r="400" spans="6:6">
      <c r="F400" t="str">
        <f>IF($C400="","",IF(NOT(_xlfn.XLOOKUP($C400,tPartidos[MatchID],tPartidos[Jugado],"No")="Sí"),0,IF(AND($D400=_xlfn.XLOOKUP($C400,tPartidos[MatchID],tPartidos[GL_Real],""),$E400=_xlfn.XLOOKUP($C400,tPartidos[MatchID],tPartidos[GV_Real],"")),CONFIG!$C$5,IF(SIGN($D400-$E400)=SIGN(_xlfn.XLOOKUP($C400,tPartidos[MatchID],tPartidos[GL_Real],0)-_xlfn.XLOOKUP($C400,tPartidos[MatchID],tPartidos[GV_Real],0)),CONFIG!$C$6,0))))</f>
        <v/>
      </c>
    </row>
    <row r="401" spans="6:6">
      <c r="F401" t="str">
        <f>IF($C401="","",IF(NOT(_xlfn.XLOOKUP($C401,tPartidos[MatchID],tPartidos[Jugado],"No")="Sí"),0,IF(AND($D401=_xlfn.XLOOKUP($C401,tPartidos[MatchID],tPartidos[GL_Real],""),$E401=_xlfn.XLOOKUP($C401,tPartidos[MatchID],tPartidos[GV_Real],"")),CONFIG!$C$5,IF(SIGN($D401-$E401)=SIGN(_xlfn.XLOOKUP($C401,tPartidos[MatchID],tPartidos[GL_Real],0)-_xlfn.XLOOKUP($C401,tPartidos[MatchID],tPartidos[GV_Real],0)),CONFIG!$C$6,0))))</f>
        <v/>
      </c>
    </row>
    <row r="402" spans="6:6">
      <c r="F402" t="str">
        <f>IF($C402="","",IF(NOT(_xlfn.XLOOKUP($C402,tPartidos[MatchID],tPartidos[Jugado],"No")="Sí"),0,IF(AND($D402=_xlfn.XLOOKUP($C402,tPartidos[MatchID],tPartidos[GL_Real],""),$E402=_xlfn.XLOOKUP($C402,tPartidos[MatchID],tPartidos[GV_Real],"")),CONFIG!$C$5,IF(SIGN($D402-$E402)=SIGN(_xlfn.XLOOKUP($C402,tPartidos[MatchID],tPartidos[GL_Real],0)-_xlfn.XLOOKUP($C402,tPartidos[MatchID],tPartidos[GV_Real],0)),CONFIG!$C$6,0))))</f>
        <v/>
      </c>
    </row>
    <row r="403" spans="6:6">
      <c r="F403" t="str">
        <f>IF($C403="","",IF(NOT(_xlfn.XLOOKUP($C403,tPartidos[MatchID],tPartidos[Jugado],"No")="Sí"),0,IF(AND($D403=_xlfn.XLOOKUP($C403,tPartidos[MatchID],tPartidos[GL_Real],""),$E403=_xlfn.XLOOKUP($C403,tPartidos[MatchID],tPartidos[GV_Real],"")),CONFIG!$C$5,IF(SIGN($D403-$E403)=SIGN(_xlfn.XLOOKUP($C403,tPartidos[MatchID],tPartidos[GL_Real],0)-_xlfn.XLOOKUP($C403,tPartidos[MatchID],tPartidos[GV_Real],0)),CONFIG!$C$6,0))))</f>
        <v/>
      </c>
    </row>
    <row r="404" spans="6:6">
      <c r="F404" t="str">
        <f>IF($C404="","",IF(NOT(_xlfn.XLOOKUP($C404,tPartidos[MatchID],tPartidos[Jugado],"No")="Sí"),0,IF(AND($D404=_xlfn.XLOOKUP($C404,tPartidos[MatchID],tPartidos[GL_Real],""),$E404=_xlfn.XLOOKUP($C404,tPartidos[MatchID],tPartidos[GV_Real],"")),CONFIG!$C$5,IF(SIGN($D404-$E404)=SIGN(_xlfn.XLOOKUP($C404,tPartidos[MatchID],tPartidos[GL_Real],0)-_xlfn.XLOOKUP($C404,tPartidos[MatchID],tPartidos[GV_Real],0)),CONFIG!$C$6,0))))</f>
        <v/>
      </c>
    </row>
    <row r="405" spans="6:6">
      <c r="F405" t="str">
        <f>IF($C405="","",IF(NOT(_xlfn.XLOOKUP($C405,tPartidos[MatchID],tPartidos[Jugado],"No")="Sí"),0,IF(AND($D405=_xlfn.XLOOKUP($C405,tPartidos[MatchID],tPartidos[GL_Real],""),$E405=_xlfn.XLOOKUP($C405,tPartidos[MatchID],tPartidos[GV_Real],"")),CONFIG!$C$5,IF(SIGN($D405-$E405)=SIGN(_xlfn.XLOOKUP($C405,tPartidos[MatchID],tPartidos[GL_Real],0)-_xlfn.XLOOKUP($C405,tPartidos[MatchID],tPartidos[GV_Real],0)),CONFIG!$C$6,0))))</f>
        <v/>
      </c>
    </row>
    <row r="406" spans="6:6">
      <c r="F406" t="str">
        <f>IF($C406="","",IF(NOT(_xlfn.XLOOKUP($C406,tPartidos[MatchID],tPartidos[Jugado],"No")="Sí"),0,IF(AND($D406=_xlfn.XLOOKUP($C406,tPartidos[MatchID],tPartidos[GL_Real],""),$E406=_xlfn.XLOOKUP($C406,tPartidos[MatchID],tPartidos[GV_Real],"")),CONFIG!$C$5,IF(SIGN($D406-$E406)=SIGN(_xlfn.XLOOKUP($C406,tPartidos[MatchID],tPartidos[GL_Real],0)-_xlfn.XLOOKUP($C406,tPartidos[MatchID],tPartidos[GV_Real],0)),CONFIG!$C$6,0))))</f>
        <v/>
      </c>
    </row>
    <row r="407" spans="6:6">
      <c r="F407" t="str">
        <f>IF($C407="","",IF(NOT(_xlfn.XLOOKUP($C407,tPartidos[MatchID],tPartidos[Jugado],"No")="Sí"),0,IF(AND($D407=_xlfn.XLOOKUP($C407,tPartidos[MatchID],tPartidos[GL_Real],""),$E407=_xlfn.XLOOKUP($C407,tPartidos[MatchID],tPartidos[GV_Real],"")),CONFIG!$C$5,IF(SIGN($D407-$E407)=SIGN(_xlfn.XLOOKUP($C407,tPartidos[MatchID],tPartidos[GL_Real],0)-_xlfn.XLOOKUP($C407,tPartidos[MatchID],tPartidos[GV_Real],0)),CONFIG!$C$6,0))))</f>
        <v/>
      </c>
    </row>
    <row r="408" spans="6:6">
      <c r="F408" t="str">
        <f>IF($C408="","",IF(NOT(_xlfn.XLOOKUP($C408,tPartidos[MatchID],tPartidos[Jugado],"No")="Sí"),0,IF(AND($D408=_xlfn.XLOOKUP($C408,tPartidos[MatchID],tPartidos[GL_Real],""),$E408=_xlfn.XLOOKUP($C408,tPartidos[MatchID],tPartidos[GV_Real],"")),CONFIG!$C$5,IF(SIGN($D408-$E408)=SIGN(_xlfn.XLOOKUP($C408,tPartidos[MatchID],tPartidos[GL_Real],0)-_xlfn.XLOOKUP($C408,tPartidos[MatchID],tPartidos[GV_Real],0)),CONFIG!$C$6,0))))</f>
        <v/>
      </c>
    </row>
    <row r="409" spans="6:6">
      <c r="F409" t="str">
        <f>IF($C409="","",IF(NOT(_xlfn.XLOOKUP($C409,tPartidos[MatchID],tPartidos[Jugado],"No")="Sí"),0,IF(AND($D409=_xlfn.XLOOKUP($C409,tPartidos[MatchID],tPartidos[GL_Real],""),$E409=_xlfn.XLOOKUP($C409,tPartidos[MatchID],tPartidos[GV_Real],"")),CONFIG!$C$5,IF(SIGN($D409-$E409)=SIGN(_xlfn.XLOOKUP($C409,tPartidos[MatchID],tPartidos[GL_Real],0)-_xlfn.XLOOKUP($C409,tPartidos[MatchID],tPartidos[GV_Real],0)),CONFIG!$C$6,0))))</f>
        <v/>
      </c>
    </row>
    <row r="410" spans="6:6">
      <c r="F410" t="str">
        <f>IF($C410="","",IF(NOT(_xlfn.XLOOKUP($C410,tPartidos[MatchID],tPartidos[Jugado],"No")="Sí"),0,IF(AND($D410=_xlfn.XLOOKUP($C410,tPartidos[MatchID],tPartidos[GL_Real],""),$E410=_xlfn.XLOOKUP($C410,tPartidos[MatchID],tPartidos[GV_Real],"")),CONFIG!$C$5,IF(SIGN($D410-$E410)=SIGN(_xlfn.XLOOKUP($C410,tPartidos[MatchID],tPartidos[GL_Real],0)-_xlfn.XLOOKUP($C410,tPartidos[MatchID],tPartidos[GV_Real],0)),CONFIG!$C$6,0))))</f>
        <v/>
      </c>
    </row>
    <row r="411" spans="6:6">
      <c r="F411" t="str">
        <f>IF($C411="","",IF(NOT(_xlfn.XLOOKUP($C411,tPartidos[MatchID],tPartidos[Jugado],"No")="Sí"),0,IF(AND($D411=_xlfn.XLOOKUP($C411,tPartidos[MatchID],tPartidos[GL_Real],""),$E411=_xlfn.XLOOKUP($C411,tPartidos[MatchID],tPartidos[GV_Real],"")),CONFIG!$C$5,IF(SIGN($D411-$E411)=SIGN(_xlfn.XLOOKUP($C411,tPartidos[MatchID],tPartidos[GL_Real],0)-_xlfn.XLOOKUP($C411,tPartidos[MatchID],tPartidos[GV_Real],0)),CONFIG!$C$6,0))))</f>
        <v/>
      </c>
    </row>
    <row r="412" spans="6:6">
      <c r="F412" t="str">
        <f>IF($C412="","",IF(NOT(_xlfn.XLOOKUP($C412,tPartidos[MatchID],tPartidos[Jugado],"No")="Sí"),0,IF(AND($D412=_xlfn.XLOOKUP($C412,tPartidos[MatchID],tPartidos[GL_Real],""),$E412=_xlfn.XLOOKUP($C412,tPartidos[MatchID],tPartidos[GV_Real],"")),CONFIG!$C$5,IF(SIGN($D412-$E412)=SIGN(_xlfn.XLOOKUP($C412,tPartidos[MatchID],tPartidos[GL_Real],0)-_xlfn.XLOOKUP($C412,tPartidos[MatchID],tPartidos[GV_Real],0)),CONFIG!$C$6,0))))</f>
        <v/>
      </c>
    </row>
    <row r="413" spans="6:6">
      <c r="F413" t="str">
        <f>IF($C413="","",IF(NOT(_xlfn.XLOOKUP($C413,tPartidos[MatchID],tPartidos[Jugado],"No")="Sí"),0,IF(AND($D413=_xlfn.XLOOKUP($C413,tPartidos[MatchID],tPartidos[GL_Real],""),$E413=_xlfn.XLOOKUP($C413,tPartidos[MatchID],tPartidos[GV_Real],"")),CONFIG!$C$5,IF(SIGN($D413-$E413)=SIGN(_xlfn.XLOOKUP($C413,tPartidos[MatchID],tPartidos[GL_Real],0)-_xlfn.XLOOKUP($C413,tPartidos[MatchID],tPartidos[GV_Real],0)),CONFIG!$C$6,0))))</f>
        <v/>
      </c>
    </row>
    <row r="414" spans="6:6">
      <c r="F414" t="str">
        <f>IF($C414="","",IF(NOT(_xlfn.XLOOKUP($C414,tPartidos[MatchID],tPartidos[Jugado],"No")="Sí"),0,IF(AND($D414=_xlfn.XLOOKUP($C414,tPartidos[MatchID],tPartidos[GL_Real],""),$E414=_xlfn.XLOOKUP($C414,tPartidos[MatchID],tPartidos[GV_Real],"")),CONFIG!$C$5,IF(SIGN($D414-$E414)=SIGN(_xlfn.XLOOKUP($C414,tPartidos[MatchID],tPartidos[GL_Real],0)-_xlfn.XLOOKUP($C414,tPartidos[MatchID],tPartidos[GV_Real],0)),CONFIG!$C$6,0))))</f>
        <v/>
      </c>
    </row>
    <row r="415" spans="6:6">
      <c r="F415" t="str">
        <f>IF($C415="","",IF(NOT(_xlfn.XLOOKUP($C415,tPartidos[MatchID],tPartidos[Jugado],"No")="Sí"),0,IF(AND($D415=_xlfn.XLOOKUP($C415,tPartidos[MatchID],tPartidos[GL_Real],""),$E415=_xlfn.XLOOKUP($C415,tPartidos[MatchID],tPartidos[GV_Real],"")),CONFIG!$C$5,IF(SIGN($D415-$E415)=SIGN(_xlfn.XLOOKUP($C415,tPartidos[MatchID],tPartidos[GL_Real],0)-_xlfn.XLOOKUP($C415,tPartidos[MatchID],tPartidos[GV_Real],0)),CONFIG!$C$6,0))))</f>
        <v/>
      </c>
    </row>
    <row r="416" spans="6:6">
      <c r="F416" t="str">
        <f>IF($C416="","",IF(NOT(_xlfn.XLOOKUP($C416,tPartidos[MatchID],tPartidos[Jugado],"No")="Sí"),0,IF(AND($D416=_xlfn.XLOOKUP($C416,tPartidos[MatchID],tPartidos[GL_Real],""),$E416=_xlfn.XLOOKUP($C416,tPartidos[MatchID],tPartidos[GV_Real],"")),CONFIG!$C$5,IF(SIGN($D416-$E416)=SIGN(_xlfn.XLOOKUP($C416,tPartidos[MatchID],tPartidos[GL_Real],0)-_xlfn.XLOOKUP($C416,tPartidos[MatchID],tPartidos[GV_Real],0)),CONFIG!$C$6,0))))</f>
        <v/>
      </c>
    </row>
    <row r="417" spans="6:6">
      <c r="F417" t="str">
        <f>IF($C417="","",IF(NOT(_xlfn.XLOOKUP($C417,tPartidos[MatchID],tPartidos[Jugado],"No")="Sí"),0,IF(AND($D417=_xlfn.XLOOKUP($C417,tPartidos[MatchID],tPartidos[GL_Real],""),$E417=_xlfn.XLOOKUP($C417,tPartidos[MatchID],tPartidos[GV_Real],"")),CONFIG!$C$5,IF(SIGN($D417-$E417)=SIGN(_xlfn.XLOOKUP($C417,tPartidos[MatchID],tPartidos[GL_Real],0)-_xlfn.XLOOKUP($C417,tPartidos[MatchID],tPartidos[GV_Real],0)),CONFIG!$C$6,0))))</f>
        <v/>
      </c>
    </row>
    <row r="418" spans="6:6">
      <c r="F418" t="str">
        <f>IF($C418="","",IF(NOT(_xlfn.XLOOKUP($C418,tPartidos[MatchID],tPartidos[Jugado],"No")="Sí"),0,IF(AND($D418=_xlfn.XLOOKUP($C418,tPartidos[MatchID],tPartidos[GL_Real],""),$E418=_xlfn.XLOOKUP($C418,tPartidos[MatchID],tPartidos[GV_Real],"")),CONFIG!$C$5,IF(SIGN($D418-$E418)=SIGN(_xlfn.XLOOKUP($C418,tPartidos[MatchID],tPartidos[GL_Real],0)-_xlfn.XLOOKUP($C418,tPartidos[MatchID],tPartidos[GV_Real],0)),CONFIG!$C$6,0))))</f>
        <v/>
      </c>
    </row>
    <row r="419" spans="6:6">
      <c r="F419" t="str">
        <f>IF($C419="","",IF(NOT(_xlfn.XLOOKUP($C419,tPartidos[MatchID],tPartidos[Jugado],"No")="Sí"),0,IF(AND($D419=_xlfn.XLOOKUP($C419,tPartidos[MatchID],tPartidos[GL_Real],""),$E419=_xlfn.XLOOKUP($C419,tPartidos[MatchID],tPartidos[GV_Real],"")),CONFIG!$C$5,IF(SIGN($D419-$E419)=SIGN(_xlfn.XLOOKUP($C419,tPartidos[MatchID],tPartidos[GL_Real],0)-_xlfn.XLOOKUP($C419,tPartidos[MatchID],tPartidos[GV_Real],0)),CONFIG!$C$6,0))))</f>
        <v/>
      </c>
    </row>
    <row r="420" spans="6:6">
      <c r="F420" t="str">
        <f>IF($C420="","",IF(NOT(_xlfn.XLOOKUP($C420,tPartidos[MatchID],tPartidos[Jugado],"No")="Sí"),0,IF(AND($D420=_xlfn.XLOOKUP($C420,tPartidos[MatchID],tPartidos[GL_Real],""),$E420=_xlfn.XLOOKUP($C420,tPartidos[MatchID],tPartidos[GV_Real],"")),CONFIG!$C$5,IF(SIGN($D420-$E420)=SIGN(_xlfn.XLOOKUP($C420,tPartidos[MatchID],tPartidos[GL_Real],0)-_xlfn.XLOOKUP($C420,tPartidos[MatchID],tPartidos[GV_Real],0)),CONFIG!$C$6,0))))</f>
        <v/>
      </c>
    </row>
    <row r="421" spans="6:6">
      <c r="F421" t="str">
        <f>IF($C421="","",IF(NOT(_xlfn.XLOOKUP($C421,tPartidos[MatchID],tPartidos[Jugado],"No")="Sí"),0,IF(AND($D421=_xlfn.XLOOKUP($C421,tPartidos[MatchID],tPartidos[GL_Real],""),$E421=_xlfn.XLOOKUP($C421,tPartidos[MatchID],tPartidos[GV_Real],"")),CONFIG!$C$5,IF(SIGN($D421-$E421)=SIGN(_xlfn.XLOOKUP($C421,tPartidos[MatchID],tPartidos[GL_Real],0)-_xlfn.XLOOKUP($C421,tPartidos[MatchID],tPartidos[GV_Real],0)),CONFIG!$C$6,0))))</f>
        <v/>
      </c>
    </row>
    <row r="422" spans="6:6">
      <c r="F422" t="str">
        <f>IF($C422="","",IF(NOT(_xlfn.XLOOKUP($C422,tPartidos[MatchID],tPartidos[Jugado],"No")="Sí"),0,IF(AND($D422=_xlfn.XLOOKUP($C422,tPartidos[MatchID],tPartidos[GL_Real],""),$E422=_xlfn.XLOOKUP($C422,tPartidos[MatchID],tPartidos[GV_Real],"")),CONFIG!$C$5,IF(SIGN($D422-$E422)=SIGN(_xlfn.XLOOKUP($C422,tPartidos[MatchID],tPartidos[GL_Real],0)-_xlfn.XLOOKUP($C422,tPartidos[MatchID],tPartidos[GV_Real],0)),CONFIG!$C$6,0))))</f>
        <v/>
      </c>
    </row>
    <row r="423" spans="6:6">
      <c r="F423" t="str">
        <f>IF($C423="","",IF(NOT(_xlfn.XLOOKUP($C423,tPartidos[MatchID],tPartidos[Jugado],"No")="Sí"),0,IF(AND($D423=_xlfn.XLOOKUP($C423,tPartidos[MatchID],tPartidos[GL_Real],""),$E423=_xlfn.XLOOKUP($C423,tPartidos[MatchID],tPartidos[GV_Real],"")),CONFIG!$C$5,IF(SIGN($D423-$E423)=SIGN(_xlfn.XLOOKUP($C423,tPartidos[MatchID],tPartidos[GL_Real],0)-_xlfn.XLOOKUP($C423,tPartidos[MatchID],tPartidos[GV_Real],0)),CONFIG!$C$6,0))))</f>
        <v/>
      </c>
    </row>
    <row r="424" spans="6:6">
      <c r="F424" t="str">
        <f>IF($C424="","",IF(NOT(_xlfn.XLOOKUP($C424,tPartidos[MatchID],tPartidos[Jugado],"No")="Sí"),0,IF(AND($D424=_xlfn.XLOOKUP($C424,tPartidos[MatchID],tPartidos[GL_Real],""),$E424=_xlfn.XLOOKUP($C424,tPartidos[MatchID],tPartidos[GV_Real],"")),CONFIG!$C$5,IF(SIGN($D424-$E424)=SIGN(_xlfn.XLOOKUP($C424,tPartidos[MatchID],tPartidos[GL_Real],0)-_xlfn.XLOOKUP($C424,tPartidos[MatchID],tPartidos[GV_Real],0)),CONFIG!$C$6,0))))</f>
        <v/>
      </c>
    </row>
    <row r="425" spans="6:6">
      <c r="F425" t="str">
        <f>IF($C425="","",IF(NOT(_xlfn.XLOOKUP($C425,tPartidos[MatchID],tPartidos[Jugado],"No")="Sí"),0,IF(AND($D425=_xlfn.XLOOKUP($C425,tPartidos[MatchID],tPartidos[GL_Real],""),$E425=_xlfn.XLOOKUP($C425,tPartidos[MatchID],tPartidos[GV_Real],"")),CONFIG!$C$5,IF(SIGN($D425-$E425)=SIGN(_xlfn.XLOOKUP($C425,tPartidos[MatchID],tPartidos[GL_Real],0)-_xlfn.XLOOKUP($C425,tPartidos[MatchID],tPartidos[GV_Real],0)),CONFIG!$C$6,0))))</f>
        <v/>
      </c>
    </row>
    <row r="426" spans="6:6">
      <c r="F426" t="str">
        <f>IF($C426="","",IF(NOT(_xlfn.XLOOKUP($C426,tPartidos[MatchID],tPartidos[Jugado],"No")="Sí"),0,IF(AND($D426=_xlfn.XLOOKUP($C426,tPartidos[MatchID],tPartidos[GL_Real],""),$E426=_xlfn.XLOOKUP($C426,tPartidos[MatchID],tPartidos[GV_Real],"")),CONFIG!$C$5,IF(SIGN($D426-$E426)=SIGN(_xlfn.XLOOKUP($C426,tPartidos[MatchID],tPartidos[GL_Real],0)-_xlfn.XLOOKUP($C426,tPartidos[MatchID],tPartidos[GV_Real],0)),CONFIG!$C$6,0))))</f>
        <v/>
      </c>
    </row>
    <row r="427" spans="6:6">
      <c r="F427" t="str">
        <f>IF($C427="","",IF(NOT(_xlfn.XLOOKUP($C427,tPartidos[MatchID],tPartidos[Jugado],"No")="Sí"),0,IF(AND($D427=_xlfn.XLOOKUP($C427,tPartidos[MatchID],tPartidos[GL_Real],""),$E427=_xlfn.XLOOKUP($C427,tPartidos[MatchID],tPartidos[GV_Real],"")),CONFIG!$C$5,IF(SIGN($D427-$E427)=SIGN(_xlfn.XLOOKUP($C427,tPartidos[MatchID],tPartidos[GL_Real],0)-_xlfn.XLOOKUP($C427,tPartidos[MatchID],tPartidos[GV_Real],0)),CONFIG!$C$6,0))))</f>
        <v/>
      </c>
    </row>
    <row r="428" spans="6:6">
      <c r="F428" t="str">
        <f>IF($C428="","",IF(NOT(_xlfn.XLOOKUP($C428,tPartidos[MatchID],tPartidos[Jugado],"No")="Sí"),0,IF(AND($D428=_xlfn.XLOOKUP($C428,tPartidos[MatchID],tPartidos[GL_Real],""),$E428=_xlfn.XLOOKUP($C428,tPartidos[MatchID],tPartidos[GV_Real],"")),CONFIG!$C$5,IF(SIGN($D428-$E428)=SIGN(_xlfn.XLOOKUP($C428,tPartidos[MatchID],tPartidos[GL_Real],0)-_xlfn.XLOOKUP($C428,tPartidos[MatchID],tPartidos[GV_Real],0)),CONFIG!$C$6,0))))</f>
        <v/>
      </c>
    </row>
    <row r="429" spans="6:6">
      <c r="F429" t="str">
        <f>IF($C429="","",IF(NOT(_xlfn.XLOOKUP($C429,tPartidos[MatchID],tPartidos[Jugado],"No")="Sí"),0,IF(AND($D429=_xlfn.XLOOKUP($C429,tPartidos[MatchID],tPartidos[GL_Real],""),$E429=_xlfn.XLOOKUP($C429,tPartidos[MatchID],tPartidos[GV_Real],"")),CONFIG!$C$5,IF(SIGN($D429-$E429)=SIGN(_xlfn.XLOOKUP($C429,tPartidos[MatchID],tPartidos[GL_Real],0)-_xlfn.XLOOKUP($C429,tPartidos[MatchID],tPartidos[GV_Real],0)),CONFIG!$C$6,0))))</f>
        <v/>
      </c>
    </row>
    <row r="430" spans="6:6">
      <c r="F430" t="str">
        <f>IF($C430="","",IF(NOT(_xlfn.XLOOKUP($C430,tPartidos[MatchID],tPartidos[Jugado],"No")="Sí"),0,IF(AND($D430=_xlfn.XLOOKUP($C430,tPartidos[MatchID],tPartidos[GL_Real],""),$E430=_xlfn.XLOOKUP($C430,tPartidos[MatchID],tPartidos[GV_Real],"")),CONFIG!$C$5,IF(SIGN($D430-$E430)=SIGN(_xlfn.XLOOKUP($C430,tPartidos[MatchID],tPartidos[GL_Real],0)-_xlfn.XLOOKUP($C430,tPartidos[MatchID],tPartidos[GV_Real],0)),CONFIG!$C$6,0))))</f>
        <v/>
      </c>
    </row>
    <row r="431" spans="6:6">
      <c r="F431" t="str">
        <f>IF($C431="","",IF(NOT(_xlfn.XLOOKUP($C431,tPartidos[MatchID],tPartidos[Jugado],"No")="Sí"),0,IF(AND($D431=_xlfn.XLOOKUP($C431,tPartidos[MatchID],tPartidos[GL_Real],""),$E431=_xlfn.XLOOKUP($C431,tPartidos[MatchID],tPartidos[GV_Real],"")),CONFIG!$C$5,IF(SIGN($D431-$E431)=SIGN(_xlfn.XLOOKUP($C431,tPartidos[MatchID],tPartidos[GL_Real],0)-_xlfn.XLOOKUP($C431,tPartidos[MatchID],tPartidos[GV_Real],0)),CONFIG!$C$6,0))))</f>
        <v/>
      </c>
    </row>
    <row r="432" spans="6:6">
      <c r="F432" t="str">
        <f>IF($C432="","",IF(NOT(_xlfn.XLOOKUP($C432,tPartidos[MatchID],tPartidos[Jugado],"No")="Sí"),0,IF(AND($D432=_xlfn.XLOOKUP($C432,tPartidos[MatchID],tPartidos[GL_Real],""),$E432=_xlfn.XLOOKUP($C432,tPartidos[MatchID],tPartidos[GV_Real],"")),CONFIG!$C$5,IF(SIGN($D432-$E432)=SIGN(_xlfn.XLOOKUP($C432,tPartidos[MatchID],tPartidos[GL_Real],0)-_xlfn.XLOOKUP($C432,tPartidos[MatchID],tPartidos[GV_Real],0)),CONFIG!$C$6,0))))</f>
        <v/>
      </c>
    </row>
    <row r="433" spans="6:6">
      <c r="F433" t="str">
        <f>IF($C433="","",IF(NOT(_xlfn.XLOOKUP($C433,tPartidos[MatchID],tPartidos[Jugado],"No")="Sí"),0,IF(AND($D433=_xlfn.XLOOKUP($C433,tPartidos[MatchID],tPartidos[GL_Real],""),$E433=_xlfn.XLOOKUP($C433,tPartidos[MatchID],tPartidos[GV_Real],"")),CONFIG!$C$5,IF(SIGN($D433-$E433)=SIGN(_xlfn.XLOOKUP($C433,tPartidos[MatchID],tPartidos[GL_Real],0)-_xlfn.XLOOKUP($C433,tPartidos[MatchID],tPartidos[GV_Real],0)),CONFIG!$C$6,0))))</f>
        <v/>
      </c>
    </row>
    <row r="434" spans="6:6">
      <c r="F434" t="str">
        <f>IF($C434="","",IF(NOT(_xlfn.XLOOKUP($C434,tPartidos[MatchID],tPartidos[Jugado],"No")="Sí"),0,IF(AND($D434=_xlfn.XLOOKUP($C434,tPartidos[MatchID],tPartidos[GL_Real],""),$E434=_xlfn.XLOOKUP($C434,tPartidos[MatchID],tPartidos[GV_Real],"")),CONFIG!$C$5,IF(SIGN($D434-$E434)=SIGN(_xlfn.XLOOKUP($C434,tPartidos[MatchID],tPartidos[GL_Real],0)-_xlfn.XLOOKUP($C434,tPartidos[MatchID],tPartidos[GV_Real],0)),CONFIG!$C$6,0))))</f>
        <v/>
      </c>
    </row>
    <row r="435" spans="6:6">
      <c r="F435" t="str">
        <f>IF($C435="","",IF(NOT(_xlfn.XLOOKUP($C435,tPartidos[MatchID],tPartidos[Jugado],"No")="Sí"),0,IF(AND($D435=_xlfn.XLOOKUP($C435,tPartidos[MatchID],tPartidos[GL_Real],""),$E435=_xlfn.XLOOKUP($C435,tPartidos[MatchID],tPartidos[GV_Real],"")),CONFIG!$C$5,IF(SIGN($D435-$E435)=SIGN(_xlfn.XLOOKUP($C435,tPartidos[MatchID],tPartidos[GL_Real],0)-_xlfn.XLOOKUP($C435,tPartidos[MatchID],tPartidos[GV_Real],0)),CONFIG!$C$6,0))))</f>
        <v/>
      </c>
    </row>
    <row r="436" spans="6:6">
      <c r="F436" t="str">
        <f>IF($C436="","",IF(NOT(_xlfn.XLOOKUP($C436,tPartidos[MatchID],tPartidos[Jugado],"No")="Sí"),0,IF(AND($D436=_xlfn.XLOOKUP($C436,tPartidos[MatchID],tPartidos[GL_Real],""),$E436=_xlfn.XLOOKUP($C436,tPartidos[MatchID],tPartidos[GV_Real],"")),CONFIG!$C$5,IF(SIGN($D436-$E436)=SIGN(_xlfn.XLOOKUP($C436,tPartidos[MatchID],tPartidos[GL_Real],0)-_xlfn.XLOOKUP($C436,tPartidos[MatchID],tPartidos[GV_Real],0)),CONFIG!$C$6,0))))</f>
        <v/>
      </c>
    </row>
    <row r="437" spans="6:6">
      <c r="F437" t="str">
        <f>IF($C437="","",IF(NOT(_xlfn.XLOOKUP($C437,tPartidos[MatchID],tPartidos[Jugado],"No")="Sí"),0,IF(AND($D437=_xlfn.XLOOKUP($C437,tPartidos[MatchID],tPartidos[GL_Real],""),$E437=_xlfn.XLOOKUP($C437,tPartidos[MatchID],tPartidos[GV_Real],"")),CONFIG!$C$5,IF(SIGN($D437-$E437)=SIGN(_xlfn.XLOOKUP($C437,tPartidos[MatchID],tPartidos[GL_Real],0)-_xlfn.XLOOKUP($C437,tPartidos[MatchID],tPartidos[GV_Real],0)),CONFIG!$C$6,0))))</f>
        <v/>
      </c>
    </row>
    <row r="438" spans="6:6">
      <c r="F438" t="str">
        <f>IF($C438="","",IF(NOT(_xlfn.XLOOKUP($C438,tPartidos[MatchID],tPartidos[Jugado],"No")="Sí"),0,IF(AND($D438=_xlfn.XLOOKUP($C438,tPartidos[MatchID],tPartidos[GL_Real],""),$E438=_xlfn.XLOOKUP($C438,tPartidos[MatchID],tPartidos[GV_Real],"")),CONFIG!$C$5,IF(SIGN($D438-$E438)=SIGN(_xlfn.XLOOKUP($C438,tPartidos[MatchID],tPartidos[GL_Real],0)-_xlfn.XLOOKUP($C438,tPartidos[MatchID],tPartidos[GV_Real],0)),CONFIG!$C$6,0))))</f>
        <v/>
      </c>
    </row>
    <row r="439" spans="6:6">
      <c r="F439" t="str">
        <f>IF($C439="","",IF(NOT(_xlfn.XLOOKUP($C439,tPartidos[MatchID],tPartidos[Jugado],"No")="Sí"),0,IF(AND($D439=_xlfn.XLOOKUP($C439,tPartidos[MatchID],tPartidos[GL_Real],""),$E439=_xlfn.XLOOKUP($C439,tPartidos[MatchID],tPartidos[GV_Real],"")),CONFIG!$C$5,IF(SIGN($D439-$E439)=SIGN(_xlfn.XLOOKUP($C439,tPartidos[MatchID],tPartidos[GL_Real],0)-_xlfn.XLOOKUP($C439,tPartidos[MatchID],tPartidos[GV_Real],0)),CONFIG!$C$6,0))))</f>
        <v/>
      </c>
    </row>
    <row r="440" spans="6:6">
      <c r="F440" t="str">
        <f>IF($C440="","",IF(NOT(_xlfn.XLOOKUP($C440,tPartidos[MatchID],tPartidos[Jugado],"No")="Sí"),0,IF(AND($D440=_xlfn.XLOOKUP($C440,tPartidos[MatchID],tPartidos[GL_Real],""),$E440=_xlfn.XLOOKUP($C440,tPartidos[MatchID],tPartidos[GV_Real],"")),CONFIG!$C$5,IF(SIGN($D440-$E440)=SIGN(_xlfn.XLOOKUP($C440,tPartidos[MatchID],tPartidos[GL_Real],0)-_xlfn.XLOOKUP($C440,tPartidos[MatchID],tPartidos[GV_Real],0)),CONFIG!$C$6,0))))</f>
        <v/>
      </c>
    </row>
    <row r="441" spans="6:6">
      <c r="F441" t="str">
        <f>IF($C441="","",IF(NOT(_xlfn.XLOOKUP($C441,tPartidos[MatchID],tPartidos[Jugado],"No")="Sí"),0,IF(AND($D441=_xlfn.XLOOKUP($C441,tPartidos[MatchID],tPartidos[GL_Real],""),$E441=_xlfn.XLOOKUP($C441,tPartidos[MatchID],tPartidos[GV_Real],"")),CONFIG!$C$5,IF(SIGN($D441-$E441)=SIGN(_xlfn.XLOOKUP($C441,tPartidos[MatchID],tPartidos[GL_Real],0)-_xlfn.XLOOKUP($C441,tPartidos[MatchID],tPartidos[GV_Real],0)),CONFIG!$C$6,0))))</f>
        <v/>
      </c>
    </row>
    <row r="442" spans="6:6">
      <c r="F442" t="str">
        <f>IF($C442="","",IF(NOT(_xlfn.XLOOKUP($C442,tPartidos[MatchID],tPartidos[Jugado],"No")="Sí"),0,IF(AND($D442=_xlfn.XLOOKUP($C442,tPartidos[MatchID],tPartidos[GL_Real],""),$E442=_xlfn.XLOOKUP($C442,tPartidos[MatchID],tPartidos[GV_Real],"")),CONFIG!$C$5,IF(SIGN($D442-$E442)=SIGN(_xlfn.XLOOKUP($C442,tPartidos[MatchID],tPartidos[GL_Real],0)-_xlfn.XLOOKUP($C442,tPartidos[MatchID],tPartidos[GV_Real],0)),CONFIG!$C$6,0))))</f>
        <v/>
      </c>
    </row>
    <row r="443" spans="6:6">
      <c r="F443" t="str">
        <f>IF($C443="","",IF(NOT(_xlfn.XLOOKUP($C443,tPartidos[MatchID],tPartidos[Jugado],"No")="Sí"),0,IF(AND($D443=_xlfn.XLOOKUP($C443,tPartidos[MatchID],tPartidos[GL_Real],""),$E443=_xlfn.XLOOKUP($C443,tPartidos[MatchID],tPartidos[GV_Real],"")),CONFIG!$C$5,IF(SIGN($D443-$E443)=SIGN(_xlfn.XLOOKUP($C443,tPartidos[MatchID],tPartidos[GL_Real],0)-_xlfn.XLOOKUP($C443,tPartidos[MatchID],tPartidos[GV_Real],0)),CONFIG!$C$6,0))))</f>
        <v/>
      </c>
    </row>
    <row r="444" spans="6:6">
      <c r="F444" t="str">
        <f>IF($C444="","",IF(NOT(_xlfn.XLOOKUP($C444,tPartidos[MatchID],tPartidos[Jugado],"No")="Sí"),0,IF(AND($D444=_xlfn.XLOOKUP($C444,tPartidos[MatchID],tPartidos[GL_Real],""),$E444=_xlfn.XLOOKUP($C444,tPartidos[MatchID],tPartidos[GV_Real],"")),CONFIG!$C$5,IF(SIGN($D444-$E444)=SIGN(_xlfn.XLOOKUP($C444,tPartidos[MatchID],tPartidos[GL_Real],0)-_xlfn.XLOOKUP($C444,tPartidos[MatchID],tPartidos[GV_Real],0)),CONFIG!$C$6,0))))</f>
        <v/>
      </c>
    </row>
    <row r="445" spans="6:6">
      <c r="F445" t="str">
        <f>IF($C445="","",IF(NOT(_xlfn.XLOOKUP($C445,tPartidos[MatchID],tPartidos[Jugado],"No")="Sí"),0,IF(AND($D445=_xlfn.XLOOKUP($C445,tPartidos[MatchID],tPartidos[GL_Real],""),$E445=_xlfn.XLOOKUP($C445,tPartidos[MatchID],tPartidos[GV_Real],"")),CONFIG!$C$5,IF(SIGN($D445-$E445)=SIGN(_xlfn.XLOOKUP($C445,tPartidos[MatchID],tPartidos[GL_Real],0)-_xlfn.XLOOKUP($C445,tPartidos[MatchID],tPartidos[GV_Real],0)),CONFIG!$C$6,0))))</f>
        <v/>
      </c>
    </row>
    <row r="446" spans="6:6">
      <c r="F446" t="str">
        <f>IF($C446="","",IF(NOT(_xlfn.XLOOKUP($C446,tPartidos[MatchID],tPartidos[Jugado],"No")="Sí"),0,IF(AND($D446=_xlfn.XLOOKUP($C446,tPartidos[MatchID],tPartidos[GL_Real],""),$E446=_xlfn.XLOOKUP($C446,tPartidos[MatchID],tPartidos[GV_Real],"")),CONFIG!$C$5,IF(SIGN($D446-$E446)=SIGN(_xlfn.XLOOKUP($C446,tPartidos[MatchID],tPartidos[GL_Real],0)-_xlfn.XLOOKUP($C446,tPartidos[MatchID],tPartidos[GV_Real],0)),CONFIG!$C$6,0))))</f>
        <v/>
      </c>
    </row>
    <row r="447" spans="6:6">
      <c r="F447" t="str">
        <f>IF($C447="","",IF(NOT(_xlfn.XLOOKUP($C447,tPartidos[MatchID],tPartidos[Jugado],"No")="Sí"),0,IF(AND($D447=_xlfn.XLOOKUP($C447,tPartidos[MatchID],tPartidos[GL_Real],""),$E447=_xlfn.XLOOKUP($C447,tPartidos[MatchID],tPartidos[GV_Real],"")),CONFIG!$C$5,IF(SIGN($D447-$E447)=SIGN(_xlfn.XLOOKUP($C447,tPartidos[MatchID],tPartidos[GL_Real],0)-_xlfn.XLOOKUP($C447,tPartidos[MatchID],tPartidos[GV_Real],0)),CONFIG!$C$6,0))))</f>
        <v/>
      </c>
    </row>
    <row r="448" spans="6:6">
      <c r="F448" t="str">
        <f>IF($C448="","",IF(NOT(_xlfn.XLOOKUP($C448,tPartidos[MatchID],tPartidos[Jugado],"No")="Sí"),0,IF(AND($D448=_xlfn.XLOOKUP($C448,tPartidos[MatchID],tPartidos[GL_Real],""),$E448=_xlfn.XLOOKUP($C448,tPartidos[MatchID],tPartidos[GV_Real],"")),CONFIG!$C$5,IF(SIGN($D448-$E448)=SIGN(_xlfn.XLOOKUP($C448,tPartidos[MatchID],tPartidos[GL_Real],0)-_xlfn.XLOOKUP($C448,tPartidos[MatchID],tPartidos[GV_Real],0)),CONFIG!$C$6,0))))</f>
        <v/>
      </c>
    </row>
    <row r="449" spans="6:6">
      <c r="F449" t="str">
        <f>IF($C449="","",IF(NOT(_xlfn.XLOOKUP($C449,tPartidos[MatchID],tPartidos[Jugado],"No")="Sí"),0,IF(AND($D449=_xlfn.XLOOKUP($C449,tPartidos[MatchID],tPartidos[GL_Real],""),$E449=_xlfn.XLOOKUP($C449,tPartidos[MatchID],tPartidos[GV_Real],"")),CONFIG!$C$5,IF(SIGN($D449-$E449)=SIGN(_xlfn.XLOOKUP($C449,tPartidos[MatchID],tPartidos[GL_Real],0)-_xlfn.XLOOKUP($C449,tPartidos[MatchID],tPartidos[GV_Real],0)),CONFIG!$C$6,0))))</f>
        <v/>
      </c>
    </row>
    <row r="450" spans="6:6">
      <c r="F450" t="str">
        <f>IF($C450="","",IF(NOT(_xlfn.XLOOKUP($C450,tPartidos[MatchID],tPartidos[Jugado],"No")="Sí"),0,IF(AND($D450=_xlfn.XLOOKUP($C450,tPartidos[MatchID],tPartidos[GL_Real],""),$E450=_xlfn.XLOOKUP($C450,tPartidos[MatchID],tPartidos[GV_Real],"")),CONFIG!$C$5,IF(SIGN($D450-$E450)=SIGN(_xlfn.XLOOKUP($C450,tPartidos[MatchID],tPartidos[GL_Real],0)-_xlfn.XLOOKUP($C450,tPartidos[MatchID],tPartidos[GV_Real],0)),CONFIG!$C$6,0))))</f>
        <v/>
      </c>
    </row>
    <row r="451" spans="6:6">
      <c r="F451" t="str">
        <f>IF($C451="","",IF(NOT(_xlfn.XLOOKUP($C451,tPartidos[MatchID],tPartidos[Jugado],"No")="Sí"),0,IF(AND($D451=_xlfn.XLOOKUP($C451,tPartidos[MatchID],tPartidos[GL_Real],""),$E451=_xlfn.XLOOKUP($C451,tPartidos[MatchID],tPartidos[GV_Real],"")),CONFIG!$C$5,IF(SIGN($D451-$E451)=SIGN(_xlfn.XLOOKUP($C451,tPartidos[MatchID],tPartidos[GL_Real],0)-_xlfn.XLOOKUP($C451,tPartidos[MatchID],tPartidos[GV_Real],0)),CONFIG!$C$6,0))))</f>
        <v/>
      </c>
    </row>
    <row r="452" spans="6:6">
      <c r="F452" t="str">
        <f>IF($C452="","",IF(NOT(_xlfn.XLOOKUP($C452,tPartidos[MatchID],tPartidos[Jugado],"No")="Sí"),0,IF(AND($D452=_xlfn.XLOOKUP($C452,tPartidos[MatchID],tPartidos[GL_Real],""),$E452=_xlfn.XLOOKUP($C452,tPartidos[MatchID],tPartidos[GV_Real],"")),CONFIG!$C$5,IF(SIGN($D452-$E452)=SIGN(_xlfn.XLOOKUP($C452,tPartidos[MatchID],tPartidos[GL_Real],0)-_xlfn.XLOOKUP($C452,tPartidos[MatchID],tPartidos[GV_Real],0)),CONFIG!$C$6,0))))</f>
        <v/>
      </c>
    </row>
    <row r="453" spans="6:6">
      <c r="F453" t="str">
        <f>IF($C453="","",IF(NOT(_xlfn.XLOOKUP($C453,tPartidos[MatchID],tPartidos[Jugado],"No")="Sí"),0,IF(AND($D453=_xlfn.XLOOKUP($C453,tPartidos[MatchID],tPartidos[GL_Real],""),$E453=_xlfn.XLOOKUP($C453,tPartidos[MatchID],tPartidos[GV_Real],"")),CONFIG!$C$5,IF(SIGN($D453-$E453)=SIGN(_xlfn.XLOOKUP($C453,tPartidos[MatchID],tPartidos[GL_Real],0)-_xlfn.XLOOKUP($C453,tPartidos[MatchID],tPartidos[GV_Real],0)),CONFIG!$C$6,0))))</f>
        <v/>
      </c>
    </row>
    <row r="454" spans="6:6">
      <c r="F454" t="str">
        <f>IF($C454="","",IF(NOT(_xlfn.XLOOKUP($C454,tPartidos[MatchID],tPartidos[Jugado],"No")="Sí"),0,IF(AND($D454=_xlfn.XLOOKUP($C454,tPartidos[MatchID],tPartidos[GL_Real],""),$E454=_xlfn.XLOOKUP($C454,tPartidos[MatchID],tPartidos[GV_Real],"")),CONFIG!$C$5,IF(SIGN($D454-$E454)=SIGN(_xlfn.XLOOKUP($C454,tPartidos[MatchID],tPartidos[GL_Real],0)-_xlfn.XLOOKUP($C454,tPartidos[MatchID],tPartidos[GV_Real],0)),CONFIG!$C$6,0))))</f>
        <v/>
      </c>
    </row>
    <row r="455" spans="6:6">
      <c r="F455" t="str">
        <f>IF($C455="","",IF(NOT(_xlfn.XLOOKUP($C455,tPartidos[MatchID],tPartidos[Jugado],"No")="Sí"),0,IF(AND($D455=_xlfn.XLOOKUP($C455,tPartidos[MatchID],tPartidos[GL_Real],""),$E455=_xlfn.XLOOKUP($C455,tPartidos[MatchID],tPartidos[GV_Real],"")),CONFIG!$C$5,IF(SIGN($D455-$E455)=SIGN(_xlfn.XLOOKUP($C455,tPartidos[MatchID],tPartidos[GL_Real],0)-_xlfn.XLOOKUP($C455,tPartidos[MatchID],tPartidos[GV_Real],0)),CONFIG!$C$6,0))))</f>
        <v/>
      </c>
    </row>
    <row r="456" spans="6:6">
      <c r="F456" t="str">
        <f>IF($C456="","",IF(NOT(_xlfn.XLOOKUP($C456,tPartidos[MatchID],tPartidos[Jugado],"No")="Sí"),0,IF(AND($D456=_xlfn.XLOOKUP($C456,tPartidos[MatchID],tPartidos[GL_Real],""),$E456=_xlfn.XLOOKUP($C456,tPartidos[MatchID],tPartidos[GV_Real],"")),CONFIG!$C$5,IF(SIGN($D456-$E456)=SIGN(_xlfn.XLOOKUP($C456,tPartidos[MatchID],tPartidos[GL_Real],0)-_xlfn.XLOOKUP($C456,tPartidos[MatchID],tPartidos[GV_Real],0)),CONFIG!$C$6,0))))</f>
        <v/>
      </c>
    </row>
    <row r="457" spans="6:6">
      <c r="F457" t="str">
        <f>IF($C457="","",IF(NOT(_xlfn.XLOOKUP($C457,tPartidos[MatchID],tPartidos[Jugado],"No")="Sí"),0,IF(AND($D457=_xlfn.XLOOKUP($C457,tPartidos[MatchID],tPartidos[GL_Real],""),$E457=_xlfn.XLOOKUP($C457,tPartidos[MatchID],tPartidos[GV_Real],"")),CONFIG!$C$5,IF(SIGN($D457-$E457)=SIGN(_xlfn.XLOOKUP($C457,tPartidos[MatchID],tPartidos[GL_Real],0)-_xlfn.XLOOKUP($C457,tPartidos[MatchID],tPartidos[GV_Real],0)),CONFIG!$C$6,0))))</f>
        <v/>
      </c>
    </row>
    <row r="458" spans="6:6">
      <c r="F458" t="str">
        <f>IF($C458="","",IF(NOT(_xlfn.XLOOKUP($C458,tPartidos[MatchID],tPartidos[Jugado],"No")="Sí"),0,IF(AND($D458=_xlfn.XLOOKUP($C458,tPartidos[MatchID],tPartidos[GL_Real],""),$E458=_xlfn.XLOOKUP($C458,tPartidos[MatchID],tPartidos[GV_Real],"")),CONFIG!$C$5,IF(SIGN($D458-$E458)=SIGN(_xlfn.XLOOKUP($C458,tPartidos[MatchID],tPartidos[GL_Real],0)-_xlfn.XLOOKUP($C458,tPartidos[MatchID],tPartidos[GV_Real],0)),CONFIG!$C$6,0))))</f>
        <v/>
      </c>
    </row>
    <row r="459" spans="6:6">
      <c r="F459" t="str">
        <f>IF($C459="","",IF(NOT(_xlfn.XLOOKUP($C459,tPartidos[MatchID],tPartidos[Jugado],"No")="Sí"),0,IF(AND($D459=_xlfn.XLOOKUP($C459,tPartidos[MatchID],tPartidos[GL_Real],""),$E459=_xlfn.XLOOKUP($C459,tPartidos[MatchID],tPartidos[GV_Real],"")),CONFIG!$C$5,IF(SIGN($D459-$E459)=SIGN(_xlfn.XLOOKUP($C459,tPartidos[MatchID],tPartidos[GL_Real],0)-_xlfn.XLOOKUP($C459,tPartidos[MatchID],tPartidos[GV_Real],0)),CONFIG!$C$6,0))))</f>
        <v/>
      </c>
    </row>
    <row r="460" spans="6:6">
      <c r="F460" t="str">
        <f>IF($C460="","",IF(NOT(_xlfn.XLOOKUP($C460,tPartidos[MatchID],tPartidos[Jugado],"No")="Sí"),0,IF(AND($D460=_xlfn.XLOOKUP($C460,tPartidos[MatchID],tPartidos[GL_Real],""),$E460=_xlfn.XLOOKUP($C460,tPartidos[MatchID],tPartidos[GV_Real],"")),CONFIG!$C$5,IF(SIGN($D460-$E460)=SIGN(_xlfn.XLOOKUP($C460,tPartidos[MatchID],tPartidos[GL_Real],0)-_xlfn.XLOOKUP($C460,tPartidos[MatchID],tPartidos[GV_Real],0)),CONFIG!$C$6,0))))</f>
        <v/>
      </c>
    </row>
    <row r="461" spans="6:6">
      <c r="F461" t="str">
        <f>IF($C461="","",IF(NOT(_xlfn.XLOOKUP($C461,tPartidos[MatchID],tPartidos[Jugado],"No")="Sí"),0,IF(AND($D461=_xlfn.XLOOKUP($C461,tPartidos[MatchID],tPartidos[GL_Real],""),$E461=_xlfn.XLOOKUP($C461,tPartidos[MatchID],tPartidos[GV_Real],"")),CONFIG!$C$5,IF(SIGN($D461-$E461)=SIGN(_xlfn.XLOOKUP($C461,tPartidos[MatchID],tPartidos[GL_Real],0)-_xlfn.XLOOKUP($C461,tPartidos[MatchID],tPartidos[GV_Real],0)),CONFIG!$C$6,0))))</f>
        <v/>
      </c>
    </row>
    <row r="462" spans="6:6">
      <c r="F462" t="str">
        <f>IF($C462="","",IF(NOT(_xlfn.XLOOKUP($C462,tPartidos[MatchID],tPartidos[Jugado],"No")="Sí"),0,IF(AND($D462=_xlfn.XLOOKUP($C462,tPartidos[MatchID],tPartidos[GL_Real],""),$E462=_xlfn.XLOOKUP($C462,tPartidos[MatchID],tPartidos[GV_Real],"")),CONFIG!$C$5,IF(SIGN($D462-$E462)=SIGN(_xlfn.XLOOKUP($C462,tPartidos[MatchID],tPartidos[GL_Real],0)-_xlfn.XLOOKUP($C462,tPartidos[MatchID],tPartidos[GV_Real],0)),CONFIG!$C$6,0))))</f>
        <v/>
      </c>
    </row>
    <row r="463" spans="6:6">
      <c r="F463" t="str">
        <f>IF($C463="","",IF(NOT(_xlfn.XLOOKUP($C463,tPartidos[MatchID],tPartidos[Jugado],"No")="Sí"),0,IF(AND($D463=_xlfn.XLOOKUP($C463,tPartidos[MatchID],tPartidos[GL_Real],""),$E463=_xlfn.XLOOKUP($C463,tPartidos[MatchID],tPartidos[GV_Real],"")),CONFIG!$C$5,IF(SIGN($D463-$E463)=SIGN(_xlfn.XLOOKUP($C463,tPartidos[MatchID],tPartidos[GL_Real],0)-_xlfn.XLOOKUP($C463,tPartidos[MatchID],tPartidos[GV_Real],0)),CONFIG!$C$6,0))))</f>
        <v/>
      </c>
    </row>
    <row r="464" spans="6:6">
      <c r="F464" t="str">
        <f>IF($C464="","",IF(NOT(_xlfn.XLOOKUP($C464,tPartidos[MatchID],tPartidos[Jugado],"No")="Sí"),0,IF(AND($D464=_xlfn.XLOOKUP($C464,tPartidos[MatchID],tPartidos[GL_Real],""),$E464=_xlfn.XLOOKUP($C464,tPartidos[MatchID],tPartidos[GV_Real],"")),CONFIG!$C$5,IF(SIGN($D464-$E464)=SIGN(_xlfn.XLOOKUP($C464,tPartidos[MatchID],tPartidos[GL_Real],0)-_xlfn.XLOOKUP($C464,tPartidos[MatchID],tPartidos[GV_Real],0)),CONFIG!$C$6,0))))</f>
        <v/>
      </c>
    </row>
    <row r="465" spans="6:6">
      <c r="F465" t="str">
        <f>IF($C465="","",IF(NOT(_xlfn.XLOOKUP($C465,tPartidos[MatchID],tPartidos[Jugado],"No")="Sí"),0,IF(AND($D465=_xlfn.XLOOKUP($C465,tPartidos[MatchID],tPartidos[GL_Real],""),$E465=_xlfn.XLOOKUP($C465,tPartidos[MatchID],tPartidos[GV_Real],"")),CONFIG!$C$5,IF(SIGN($D465-$E465)=SIGN(_xlfn.XLOOKUP($C465,tPartidos[MatchID],tPartidos[GL_Real],0)-_xlfn.XLOOKUP($C465,tPartidos[MatchID],tPartidos[GV_Real],0)),CONFIG!$C$6,0))))</f>
        <v/>
      </c>
    </row>
    <row r="466" spans="6:6">
      <c r="F466" t="str">
        <f>IF($C466="","",IF(NOT(_xlfn.XLOOKUP($C466,tPartidos[MatchID],tPartidos[Jugado],"No")="Sí"),0,IF(AND($D466=_xlfn.XLOOKUP($C466,tPartidos[MatchID],tPartidos[GL_Real],""),$E466=_xlfn.XLOOKUP($C466,tPartidos[MatchID],tPartidos[GV_Real],"")),CONFIG!$C$5,IF(SIGN($D466-$E466)=SIGN(_xlfn.XLOOKUP($C466,tPartidos[MatchID],tPartidos[GL_Real],0)-_xlfn.XLOOKUP($C466,tPartidos[MatchID],tPartidos[GV_Real],0)),CONFIG!$C$6,0))))</f>
        <v/>
      </c>
    </row>
    <row r="467" spans="6:6">
      <c r="F467" t="str">
        <f>IF($C467="","",IF(NOT(_xlfn.XLOOKUP($C467,tPartidos[MatchID],tPartidos[Jugado],"No")="Sí"),0,IF(AND($D467=_xlfn.XLOOKUP($C467,tPartidos[MatchID],tPartidos[GL_Real],""),$E467=_xlfn.XLOOKUP($C467,tPartidos[MatchID],tPartidos[GV_Real],"")),CONFIG!$C$5,IF(SIGN($D467-$E467)=SIGN(_xlfn.XLOOKUP($C467,tPartidos[MatchID],tPartidos[GL_Real],0)-_xlfn.XLOOKUP($C467,tPartidos[MatchID],tPartidos[GV_Real],0)),CONFIG!$C$6,0))))</f>
        <v/>
      </c>
    </row>
    <row r="468" spans="6:6">
      <c r="F468" t="str">
        <f>IF($C468="","",IF(NOT(_xlfn.XLOOKUP($C468,tPartidos[MatchID],tPartidos[Jugado],"No")="Sí"),0,IF(AND($D468=_xlfn.XLOOKUP($C468,tPartidos[MatchID],tPartidos[GL_Real],""),$E468=_xlfn.XLOOKUP($C468,tPartidos[MatchID],tPartidos[GV_Real],"")),CONFIG!$C$5,IF(SIGN($D468-$E468)=SIGN(_xlfn.XLOOKUP($C468,tPartidos[MatchID],tPartidos[GL_Real],0)-_xlfn.XLOOKUP($C468,tPartidos[MatchID],tPartidos[GV_Real],0)),CONFIG!$C$6,0))))</f>
        <v/>
      </c>
    </row>
    <row r="469" spans="6:6">
      <c r="F469" t="str">
        <f>IF($C469="","",IF(NOT(_xlfn.XLOOKUP($C469,tPartidos[MatchID],tPartidos[Jugado],"No")="Sí"),0,IF(AND($D469=_xlfn.XLOOKUP($C469,tPartidos[MatchID],tPartidos[GL_Real],""),$E469=_xlfn.XLOOKUP($C469,tPartidos[MatchID],tPartidos[GV_Real],"")),CONFIG!$C$5,IF(SIGN($D469-$E469)=SIGN(_xlfn.XLOOKUP($C469,tPartidos[MatchID],tPartidos[GL_Real],0)-_xlfn.XLOOKUP($C469,tPartidos[MatchID],tPartidos[GV_Real],0)),CONFIG!$C$6,0))))</f>
        <v/>
      </c>
    </row>
    <row r="470" spans="6:6">
      <c r="F470" t="str">
        <f>IF($C470="","",IF(NOT(_xlfn.XLOOKUP($C470,tPartidos[MatchID],tPartidos[Jugado],"No")="Sí"),0,IF(AND($D470=_xlfn.XLOOKUP($C470,tPartidos[MatchID],tPartidos[GL_Real],""),$E470=_xlfn.XLOOKUP($C470,tPartidos[MatchID],tPartidos[GV_Real],"")),CONFIG!$C$5,IF(SIGN($D470-$E470)=SIGN(_xlfn.XLOOKUP($C470,tPartidos[MatchID],tPartidos[GL_Real],0)-_xlfn.XLOOKUP($C470,tPartidos[MatchID],tPartidos[GV_Real],0)),CONFIG!$C$6,0))))</f>
        <v/>
      </c>
    </row>
    <row r="471" spans="6:6">
      <c r="F471" t="str">
        <f>IF($C471="","",IF(NOT(_xlfn.XLOOKUP($C471,tPartidos[MatchID],tPartidos[Jugado],"No")="Sí"),0,IF(AND($D471=_xlfn.XLOOKUP($C471,tPartidos[MatchID],tPartidos[GL_Real],""),$E471=_xlfn.XLOOKUP($C471,tPartidos[MatchID],tPartidos[GV_Real],"")),CONFIG!$C$5,IF(SIGN($D471-$E471)=SIGN(_xlfn.XLOOKUP($C471,tPartidos[MatchID],tPartidos[GL_Real],0)-_xlfn.XLOOKUP($C471,tPartidos[MatchID],tPartidos[GV_Real],0)),CONFIG!$C$6,0))))</f>
        <v/>
      </c>
    </row>
    <row r="472" spans="6:6">
      <c r="F472" t="str">
        <f>IF($C472="","",IF(NOT(_xlfn.XLOOKUP($C472,tPartidos[MatchID],tPartidos[Jugado],"No")="Sí"),0,IF(AND($D472=_xlfn.XLOOKUP($C472,tPartidos[MatchID],tPartidos[GL_Real],""),$E472=_xlfn.XLOOKUP($C472,tPartidos[MatchID],tPartidos[GV_Real],"")),CONFIG!$C$5,IF(SIGN($D472-$E472)=SIGN(_xlfn.XLOOKUP($C472,tPartidos[MatchID],tPartidos[GL_Real],0)-_xlfn.XLOOKUP($C472,tPartidos[MatchID],tPartidos[GV_Real],0)),CONFIG!$C$6,0))))</f>
        <v/>
      </c>
    </row>
    <row r="473" spans="6:6">
      <c r="F473" t="str">
        <f>IF($C473="","",IF(NOT(_xlfn.XLOOKUP($C473,tPartidos[MatchID],tPartidos[Jugado],"No")="Sí"),0,IF(AND($D473=_xlfn.XLOOKUP($C473,tPartidos[MatchID],tPartidos[GL_Real],""),$E473=_xlfn.XLOOKUP($C473,tPartidos[MatchID],tPartidos[GV_Real],"")),CONFIG!$C$5,IF(SIGN($D473-$E473)=SIGN(_xlfn.XLOOKUP($C473,tPartidos[MatchID],tPartidos[GL_Real],0)-_xlfn.XLOOKUP($C473,tPartidos[MatchID],tPartidos[GV_Real],0)),CONFIG!$C$6,0))))</f>
        <v/>
      </c>
    </row>
    <row r="474" spans="6:6">
      <c r="F474" t="str">
        <f>IF($C474="","",IF(NOT(_xlfn.XLOOKUP($C474,tPartidos[MatchID],tPartidos[Jugado],"No")="Sí"),0,IF(AND($D474=_xlfn.XLOOKUP($C474,tPartidos[MatchID],tPartidos[GL_Real],""),$E474=_xlfn.XLOOKUP($C474,tPartidos[MatchID],tPartidos[GV_Real],"")),CONFIG!$C$5,IF(SIGN($D474-$E474)=SIGN(_xlfn.XLOOKUP($C474,tPartidos[MatchID],tPartidos[GL_Real],0)-_xlfn.XLOOKUP($C474,tPartidos[MatchID],tPartidos[GV_Real],0)),CONFIG!$C$6,0))))</f>
        <v/>
      </c>
    </row>
    <row r="475" spans="6:6">
      <c r="F475" t="str">
        <f>IF($C475="","",IF(NOT(_xlfn.XLOOKUP($C475,tPartidos[MatchID],tPartidos[Jugado],"No")="Sí"),0,IF(AND($D475=_xlfn.XLOOKUP($C475,tPartidos[MatchID],tPartidos[GL_Real],""),$E475=_xlfn.XLOOKUP($C475,tPartidos[MatchID],tPartidos[GV_Real],"")),CONFIG!$C$5,IF(SIGN($D475-$E475)=SIGN(_xlfn.XLOOKUP($C475,tPartidos[MatchID],tPartidos[GL_Real],0)-_xlfn.XLOOKUP($C475,tPartidos[MatchID],tPartidos[GV_Real],0)),CONFIG!$C$6,0))))</f>
        <v/>
      </c>
    </row>
    <row r="476" spans="6:6">
      <c r="F476" t="str">
        <f>IF($C476="","",IF(NOT(_xlfn.XLOOKUP($C476,tPartidos[MatchID],tPartidos[Jugado],"No")="Sí"),0,IF(AND($D476=_xlfn.XLOOKUP($C476,tPartidos[MatchID],tPartidos[GL_Real],""),$E476=_xlfn.XLOOKUP($C476,tPartidos[MatchID],tPartidos[GV_Real],"")),CONFIG!$C$5,IF(SIGN($D476-$E476)=SIGN(_xlfn.XLOOKUP($C476,tPartidos[MatchID],tPartidos[GL_Real],0)-_xlfn.XLOOKUP($C476,tPartidos[MatchID],tPartidos[GV_Real],0)),CONFIG!$C$6,0))))</f>
        <v/>
      </c>
    </row>
    <row r="477" spans="6:6">
      <c r="F477" t="str">
        <f>IF($C477="","",IF(NOT(_xlfn.XLOOKUP($C477,tPartidos[MatchID],tPartidos[Jugado],"No")="Sí"),0,IF(AND($D477=_xlfn.XLOOKUP($C477,tPartidos[MatchID],tPartidos[GL_Real],""),$E477=_xlfn.XLOOKUP($C477,tPartidos[MatchID],tPartidos[GV_Real],"")),CONFIG!$C$5,IF(SIGN($D477-$E477)=SIGN(_xlfn.XLOOKUP($C477,tPartidos[MatchID],tPartidos[GL_Real],0)-_xlfn.XLOOKUP($C477,tPartidos[MatchID],tPartidos[GV_Real],0)),CONFIG!$C$6,0))))</f>
        <v/>
      </c>
    </row>
    <row r="478" spans="6:6">
      <c r="F478" t="str">
        <f>IF($C478="","",IF(NOT(_xlfn.XLOOKUP($C478,tPartidos[MatchID],tPartidos[Jugado],"No")="Sí"),0,IF(AND($D478=_xlfn.XLOOKUP($C478,tPartidos[MatchID],tPartidos[GL_Real],""),$E478=_xlfn.XLOOKUP($C478,tPartidos[MatchID],tPartidos[GV_Real],"")),CONFIG!$C$5,IF(SIGN($D478-$E478)=SIGN(_xlfn.XLOOKUP($C478,tPartidos[MatchID],tPartidos[GL_Real],0)-_xlfn.XLOOKUP($C478,tPartidos[MatchID],tPartidos[GV_Real],0)),CONFIG!$C$6,0))))</f>
        <v/>
      </c>
    </row>
    <row r="479" spans="6:6">
      <c r="F479" t="str">
        <f>IF($C479="","",IF(NOT(_xlfn.XLOOKUP($C479,tPartidos[MatchID],tPartidos[Jugado],"No")="Sí"),0,IF(AND($D479=_xlfn.XLOOKUP($C479,tPartidos[MatchID],tPartidos[GL_Real],""),$E479=_xlfn.XLOOKUP($C479,tPartidos[MatchID],tPartidos[GV_Real],"")),CONFIG!$C$5,IF(SIGN($D479-$E479)=SIGN(_xlfn.XLOOKUP($C479,tPartidos[MatchID],tPartidos[GL_Real],0)-_xlfn.XLOOKUP($C479,tPartidos[MatchID],tPartidos[GV_Real],0)),CONFIG!$C$6,0))))</f>
        <v/>
      </c>
    </row>
    <row r="480" spans="6:6">
      <c r="F480" t="str">
        <f>IF($C480="","",IF(NOT(_xlfn.XLOOKUP($C480,tPartidos[MatchID],tPartidos[Jugado],"No")="Sí"),0,IF(AND($D480=_xlfn.XLOOKUP($C480,tPartidos[MatchID],tPartidos[GL_Real],""),$E480=_xlfn.XLOOKUP($C480,tPartidos[MatchID],tPartidos[GV_Real],"")),CONFIG!$C$5,IF(SIGN($D480-$E480)=SIGN(_xlfn.XLOOKUP($C480,tPartidos[MatchID],tPartidos[GL_Real],0)-_xlfn.XLOOKUP($C480,tPartidos[MatchID],tPartidos[GV_Real],0)),CONFIG!$C$6,0))))</f>
        <v/>
      </c>
    </row>
    <row r="481" spans="6:6">
      <c r="F481" t="str">
        <f>IF($C481="","",IF(NOT(_xlfn.XLOOKUP($C481,tPartidos[MatchID],tPartidos[Jugado],"No")="Sí"),0,IF(AND($D481=_xlfn.XLOOKUP($C481,tPartidos[MatchID],tPartidos[GL_Real],""),$E481=_xlfn.XLOOKUP($C481,tPartidos[MatchID],tPartidos[GV_Real],"")),CONFIG!$C$5,IF(SIGN($D481-$E481)=SIGN(_xlfn.XLOOKUP($C481,tPartidos[MatchID],tPartidos[GL_Real],0)-_xlfn.XLOOKUP($C481,tPartidos[MatchID],tPartidos[GV_Real],0)),CONFIG!$C$6,0))))</f>
        <v/>
      </c>
    </row>
    <row r="482" spans="6:6">
      <c r="F482" t="str">
        <f>IF($C482="","",IF(NOT(_xlfn.XLOOKUP($C482,tPartidos[MatchID],tPartidos[Jugado],"No")="Sí"),0,IF(AND($D482=_xlfn.XLOOKUP($C482,tPartidos[MatchID],tPartidos[GL_Real],""),$E482=_xlfn.XLOOKUP($C482,tPartidos[MatchID],tPartidos[GV_Real],"")),CONFIG!$C$5,IF(SIGN($D482-$E482)=SIGN(_xlfn.XLOOKUP($C482,tPartidos[MatchID],tPartidos[GL_Real],0)-_xlfn.XLOOKUP($C482,tPartidos[MatchID],tPartidos[GV_Real],0)),CONFIG!$C$6,0))))</f>
        <v/>
      </c>
    </row>
    <row r="483" spans="6:6">
      <c r="F483" t="str">
        <f>IF($C483="","",IF(NOT(_xlfn.XLOOKUP($C483,tPartidos[MatchID],tPartidos[Jugado],"No")="Sí"),0,IF(AND($D483=_xlfn.XLOOKUP($C483,tPartidos[MatchID],tPartidos[GL_Real],""),$E483=_xlfn.XLOOKUP($C483,tPartidos[MatchID],tPartidos[GV_Real],"")),CONFIG!$C$5,IF(SIGN($D483-$E483)=SIGN(_xlfn.XLOOKUP($C483,tPartidos[MatchID],tPartidos[GL_Real],0)-_xlfn.XLOOKUP($C483,tPartidos[MatchID],tPartidos[GV_Real],0)),CONFIG!$C$6,0))))</f>
        <v/>
      </c>
    </row>
    <row r="484" spans="6:6">
      <c r="F484" t="str">
        <f>IF($C484="","",IF(NOT(_xlfn.XLOOKUP($C484,tPartidos[MatchID],tPartidos[Jugado],"No")="Sí"),0,IF(AND($D484=_xlfn.XLOOKUP($C484,tPartidos[MatchID],tPartidos[GL_Real],""),$E484=_xlfn.XLOOKUP($C484,tPartidos[MatchID],tPartidos[GV_Real],"")),CONFIG!$C$5,IF(SIGN($D484-$E484)=SIGN(_xlfn.XLOOKUP($C484,tPartidos[MatchID],tPartidos[GL_Real],0)-_xlfn.XLOOKUP($C484,tPartidos[MatchID],tPartidos[GV_Real],0)),CONFIG!$C$6,0))))</f>
        <v/>
      </c>
    </row>
    <row r="485" spans="6:6">
      <c r="F485" t="str">
        <f>IF($C485="","",IF(NOT(_xlfn.XLOOKUP($C485,tPartidos[MatchID],tPartidos[Jugado],"No")="Sí"),0,IF(AND($D485=_xlfn.XLOOKUP($C485,tPartidos[MatchID],tPartidos[GL_Real],""),$E485=_xlfn.XLOOKUP($C485,tPartidos[MatchID],tPartidos[GV_Real],"")),CONFIG!$C$5,IF(SIGN($D485-$E485)=SIGN(_xlfn.XLOOKUP($C485,tPartidos[MatchID],tPartidos[GL_Real],0)-_xlfn.XLOOKUP($C485,tPartidos[MatchID],tPartidos[GV_Real],0)),CONFIG!$C$6,0))))</f>
        <v/>
      </c>
    </row>
    <row r="486" spans="6:6">
      <c r="F486" t="str">
        <f>IF($C486="","",IF(NOT(_xlfn.XLOOKUP($C486,tPartidos[MatchID],tPartidos[Jugado],"No")="Sí"),0,IF(AND($D486=_xlfn.XLOOKUP($C486,tPartidos[MatchID],tPartidos[GL_Real],""),$E486=_xlfn.XLOOKUP($C486,tPartidos[MatchID],tPartidos[GV_Real],"")),CONFIG!$C$5,IF(SIGN($D486-$E486)=SIGN(_xlfn.XLOOKUP($C486,tPartidos[MatchID],tPartidos[GL_Real],0)-_xlfn.XLOOKUP($C486,tPartidos[MatchID],tPartidos[GV_Real],0)),CONFIG!$C$6,0))))</f>
        <v/>
      </c>
    </row>
    <row r="487" spans="6:6">
      <c r="F487" t="str">
        <f>IF($C487="","",IF(NOT(_xlfn.XLOOKUP($C487,tPartidos[MatchID],tPartidos[Jugado],"No")="Sí"),0,IF(AND($D487=_xlfn.XLOOKUP($C487,tPartidos[MatchID],tPartidos[GL_Real],""),$E487=_xlfn.XLOOKUP($C487,tPartidos[MatchID],tPartidos[GV_Real],"")),CONFIG!$C$5,IF(SIGN($D487-$E487)=SIGN(_xlfn.XLOOKUP($C487,tPartidos[MatchID],tPartidos[GL_Real],0)-_xlfn.XLOOKUP($C487,tPartidos[MatchID],tPartidos[GV_Real],0)),CONFIG!$C$6,0))))</f>
        <v/>
      </c>
    </row>
    <row r="488" spans="6:6">
      <c r="F488" t="str">
        <f>IF($C488="","",IF(NOT(_xlfn.XLOOKUP($C488,tPartidos[MatchID],tPartidos[Jugado],"No")="Sí"),0,IF(AND($D488=_xlfn.XLOOKUP($C488,tPartidos[MatchID],tPartidos[GL_Real],""),$E488=_xlfn.XLOOKUP($C488,tPartidos[MatchID],tPartidos[GV_Real],"")),CONFIG!$C$5,IF(SIGN($D488-$E488)=SIGN(_xlfn.XLOOKUP($C488,tPartidos[MatchID],tPartidos[GL_Real],0)-_xlfn.XLOOKUP($C488,tPartidos[MatchID],tPartidos[GV_Real],0)),CONFIG!$C$6,0))))</f>
        <v/>
      </c>
    </row>
    <row r="489" spans="6:6">
      <c r="F489" t="str">
        <f>IF($C489="","",IF(NOT(_xlfn.XLOOKUP($C489,tPartidos[MatchID],tPartidos[Jugado],"No")="Sí"),0,IF(AND($D489=_xlfn.XLOOKUP($C489,tPartidos[MatchID],tPartidos[GL_Real],""),$E489=_xlfn.XLOOKUP($C489,tPartidos[MatchID],tPartidos[GV_Real],"")),CONFIG!$C$5,IF(SIGN($D489-$E489)=SIGN(_xlfn.XLOOKUP($C489,tPartidos[MatchID],tPartidos[GL_Real],0)-_xlfn.XLOOKUP($C489,tPartidos[MatchID],tPartidos[GV_Real],0)),CONFIG!$C$6,0))))</f>
        <v/>
      </c>
    </row>
    <row r="490" spans="6:6">
      <c r="F490" t="str">
        <f>IF($C490="","",IF(NOT(_xlfn.XLOOKUP($C490,tPartidos[MatchID],tPartidos[Jugado],"No")="Sí"),0,IF(AND($D490=_xlfn.XLOOKUP($C490,tPartidos[MatchID],tPartidos[GL_Real],""),$E490=_xlfn.XLOOKUP($C490,tPartidos[MatchID],tPartidos[GV_Real],"")),CONFIG!$C$5,IF(SIGN($D490-$E490)=SIGN(_xlfn.XLOOKUP($C490,tPartidos[MatchID],tPartidos[GL_Real],0)-_xlfn.XLOOKUP($C490,tPartidos[MatchID],tPartidos[GV_Real],0)),CONFIG!$C$6,0))))</f>
        <v/>
      </c>
    </row>
    <row r="491" spans="6:6">
      <c r="F491" t="str">
        <f>IF($C491="","",IF(NOT(_xlfn.XLOOKUP($C491,tPartidos[MatchID],tPartidos[Jugado],"No")="Sí"),0,IF(AND($D491=_xlfn.XLOOKUP($C491,tPartidos[MatchID],tPartidos[GL_Real],""),$E491=_xlfn.XLOOKUP($C491,tPartidos[MatchID],tPartidos[GV_Real],"")),CONFIG!$C$5,IF(SIGN($D491-$E491)=SIGN(_xlfn.XLOOKUP($C491,tPartidos[MatchID],tPartidos[GL_Real],0)-_xlfn.XLOOKUP($C491,tPartidos[MatchID],tPartidos[GV_Real],0)),CONFIG!$C$6,0))))</f>
        <v/>
      </c>
    </row>
    <row r="492" spans="6:6">
      <c r="F492" t="str">
        <f>IF($C492="","",IF(NOT(_xlfn.XLOOKUP($C492,tPartidos[MatchID],tPartidos[Jugado],"No")="Sí"),0,IF(AND($D492=_xlfn.XLOOKUP($C492,tPartidos[MatchID],tPartidos[GL_Real],""),$E492=_xlfn.XLOOKUP($C492,tPartidos[MatchID],tPartidos[GV_Real],"")),CONFIG!$C$5,IF(SIGN($D492-$E492)=SIGN(_xlfn.XLOOKUP($C492,tPartidos[MatchID],tPartidos[GL_Real],0)-_xlfn.XLOOKUP($C492,tPartidos[MatchID],tPartidos[GV_Real],0)),CONFIG!$C$6,0))))</f>
        <v/>
      </c>
    </row>
    <row r="493" spans="6:6">
      <c r="F493" t="str">
        <f>IF($C493="","",IF(NOT(_xlfn.XLOOKUP($C493,tPartidos[MatchID],tPartidos[Jugado],"No")="Sí"),0,IF(AND($D493=_xlfn.XLOOKUP($C493,tPartidos[MatchID],tPartidos[GL_Real],""),$E493=_xlfn.XLOOKUP($C493,tPartidos[MatchID],tPartidos[GV_Real],"")),CONFIG!$C$5,IF(SIGN($D493-$E493)=SIGN(_xlfn.XLOOKUP($C493,tPartidos[MatchID],tPartidos[GL_Real],0)-_xlfn.XLOOKUP($C493,tPartidos[MatchID],tPartidos[GV_Real],0)),CONFIG!$C$6,0))))</f>
        <v/>
      </c>
    </row>
    <row r="494" spans="6:6">
      <c r="F494" t="str">
        <f>IF($C494="","",IF(NOT(_xlfn.XLOOKUP($C494,tPartidos[MatchID],tPartidos[Jugado],"No")="Sí"),0,IF(AND($D494=_xlfn.XLOOKUP($C494,tPartidos[MatchID],tPartidos[GL_Real],""),$E494=_xlfn.XLOOKUP($C494,tPartidos[MatchID],tPartidos[GV_Real],"")),CONFIG!$C$5,IF(SIGN($D494-$E494)=SIGN(_xlfn.XLOOKUP($C494,tPartidos[MatchID],tPartidos[GL_Real],0)-_xlfn.XLOOKUP($C494,tPartidos[MatchID],tPartidos[GV_Real],0)),CONFIG!$C$6,0))))</f>
        <v/>
      </c>
    </row>
    <row r="495" spans="6:6">
      <c r="F495" t="str">
        <f>IF($C495="","",IF(NOT(_xlfn.XLOOKUP($C495,tPartidos[MatchID],tPartidos[Jugado],"No")="Sí"),0,IF(AND($D495=_xlfn.XLOOKUP($C495,tPartidos[MatchID],tPartidos[GL_Real],""),$E495=_xlfn.XLOOKUP($C495,tPartidos[MatchID],tPartidos[GV_Real],"")),CONFIG!$C$5,IF(SIGN($D495-$E495)=SIGN(_xlfn.XLOOKUP($C495,tPartidos[MatchID],tPartidos[GL_Real],0)-_xlfn.XLOOKUP($C495,tPartidos[MatchID],tPartidos[GV_Real],0)),CONFIG!$C$6,0))))</f>
        <v/>
      </c>
    </row>
    <row r="496" spans="6:6">
      <c r="F496" t="str">
        <f>IF($C496="","",IF(NOT(_xlfn.XLOOKUP($C496,tPartidos[MatchID],tPartidos[Jugado],"No")="Sí"),0,IF(AND($D496=_xlfn.XLOOKUP($C496,tPartidos[MatchID],tPartidos[GL_Real],""),$E496=_xlfn.XLOOKUP($C496,tPartidos[MatchID],tPartidos[GV_Real],"")),CONFIG!$C$5,IF(SIGN($D496-$E496)=SIGN(_xlfn.XLOOKUP($C496,tPartidos[MatchID],tPartidos[GL_Real],0)-_xlfn.XLOOKUP($C496,tPartidos[MatchID],tPartidos[GV_Real],0)),CONFIG!$C$6,0))))</f>
        <v/>
      </c>
    </row>
    <row r="497" spans="6:6">
      <c r="F497" t="str">
        <f>IF($C497="","",IF(NOT(_xlfn.XLOOKUP($C497,tPartidos[MatchID],tPartidos[Jugado],"No")="Sí"),0,IF(AND($D497=_xlfn.XLOOKUP($C497,tPartidos[MatchID],tPartidos[GL_Real],""),$E497=_xlfn.XLOOKUP($C497,tPartidos[MatchID],tPartidos[GV_Real],"")),CONFIG!$C$5,IF(SIGN($D497-$E497)=SIGN(_xlfn.XLOOKUP($C497,tPartidos[MatchID],tPartidos[GL_Real],0)-_xlfn.XLOOKUP($C497,tPartidos[MatchID],tPartidos[GV_Real],0)),CONFIG!$C$6,0))))</f>
        <v/>
      </c>
    </row>
    <row r="498" spans="6:6">
      <c r="F498" t="str">
        <f>IF($C498="","",IF(NOT(_xlfn.XLOOKUP($C498,tPartidos[MatchID],tPartidos[Jugado],"No")="Sí"),0,IF(AND($D498=_xlfn.XLOOKUP($C498,tPartidos[MatchID],tPartidos[GL_Real],""),$E498=_xlfn.XLOOKUP($C498,tPartidos[MatchID],tPartidos[GV_Real],"")),CONFIG!$C$5,IF(SIGN($D498-$E498)=SIGN(_xlfn.XLOOKUP($C498,tPartidos[MatchID],tPartidos[GL_Real],0)-_xlfn.XLOOKUP($C498,tPartidos[MatchID],tPartidos[GV_Real],0)),CONFIG!$C$6,0))))</f>
        <v/>
      </c>
    </row>
    <row r="499" spans="6:6">
      <c r="F499" t="str">
        <f>IF($C499="","",IF(NOT(_xlfn.XLOOKUP($C499,tPartidos[MatchID],tPartidos[Jugado],"No")="Sí"),0,IF(AND($D499=_xlfn.XLOOKUP($C499,tPartidos[MatchID],tPartidos[GL_Real],""),$E499=_xlfn.XLOOKUP($C499,tPartidos[MatchID],tPartidos[GV_Real],"")),CONFIG!$C$5,IF(SIGN($D499-$E499)=SIGN(_xlfn.XLOOKUP($C499,tPartidos[MatchID],tPartidos[GL_Real],0)-_xlfn.XLOOKUP($C499,tPartidos[MatchID],tPartidos[GV_Real],0)),CONFIG!$C$6,0))))</f>
        <v/>
      </c>
    </row>
    <row r="500" spans="6:6">
      <c r="F500" t="str">
        <f>IF($C500="","",IF(NOT(_xlfn.XLOOKUP($C500,tPartidos[MatchID],tPartidos[Jugado],"No")="Sí"),0,IF(AND($D500=_xlfn.XLOOKUP($C500,tPartidos[MatchID],tPartidos[GL_Real],""),$E500=_xlfn.XLOOKUP($C500,tPartidos[MatchID],tPartidos[GV_Real],"")),CONFIG!$C$5,IF(SIGN($D500-$E500)=SIGN(_xlfn.XLOOKUP($C500,tPartidos[MatchID],tPartidos[GL_Real],0)-_xlfn.XLOOKUP($C500,tPartidos[MatchID],tPartidos[GV_Real],0)),CONFIG!$C$6,0))))</f>
        <v/>
      </c>
    </row>
    <row r="501" spans="6:6">
      <c r="F501" t="str">
        <f>IF($C501="","",IF(NOT(_xlfn.XLOOKUP($C501,tPartidos[MatchID],tPartidos[Jugado],"No")="Sí"),0,IF(AND($D501=_xlfn.XLOOKUP($C501,tPartidos[MatchID],tPartidos[GL_Real],""),$E501=_xlfn.XLOOKUP($C501,tPartidos[MatchID],tPartidos[GV_Real],"")),CONFIG!$C$5,IF(SIGN($D501-$E501)=SIGN(_xlfn.XLOOKUP($C501,tPartidos[MatchID],tPartidos[GL_Real],0)-_xlfn.XLOOKUP($C501,tPartidos[MatchID],tPartidos[GV_Real],0)),CONFIG!$C$6,0))))</f>
        <v/>
      </c>
    </row>
    <row r="502" spans="6:6">
      <c r="F502" t="str">
        <f>IF($C502="","",IF(NOT(_xlfn.XLOOKUP($C502,tPartidos[MatchID],tPartidos[Jugado],"No")="Sí"),0,IF(AND($D502=_xlfn.XLOOKUP($C502,tPartidos[MatchID],tPartidos[GL_Real],""),$E502=_xlfn.XLOOKUP($C502,tPartidos[MatchID],tPartidos[GV_Real],"")),CONFIG!$C$5,IF(SIGN($D502-$E502)=SIGN(_xlfn.XLOOKUP($C502,tPartidos[MatchID],tPartidos[GL_Real],0)-_xlfn.XLOOKUP($C502,tPartidos[MatchID],tPartidos[GV_Real],0)),CONFIG!$C$6,0))))</f>
        <v/>
      </c>
    </row>
    <row r="503" spans="6:6">
      <c r="F503" t="str">
        <f>IF($C503="","",IF(NOT(_xlfn.XLOOKUP($C503,tPartidos[MatchID],tPartidos[Jugado],"No")="Sí"),0,IF(AND($D503=_xlfn.XLOOKUP($C503,tPartidos[MatchID],tPartidos[GL_Real],""),$E503=_xlfn.XLOOKUP($C503,tPartidos[MatchID],tPartidos[GV_Real],"")),CONFIG!$C$5,IF(SIGN($D503-$E503)=SIGN(_xlfn.XLOOKUP($C503,tPartidos[MatchID],tPartidos[GL_Real],0)-_xlfn.XLOOKUP($C503,tPartidos[MatchID],tPartidos[GV_Real],0)),CONFIG!$C$6,0))))</f>
        <v/>
      </c>
    </row>
    <row r="504" spans="6:6">
      <c r="F504" t="str">
        <f>IF($C504="","",IF(NOT(_xlfn.XLOOKUP($C504,tPartidos[MatchID],tPartidos[Jugado],"No")="Sí"),0,IF(AND($D504=_xlfn.XLOOKUP($C504,tPartidos[MatchID],tPartidos[GL_Real],""),$E504=_xlfn.XLOOKUP($C504,tPartidos[MatchID],tPartidos[GV_Real],"")),CONFIG!$C$5,IF(SIGN($D504-$E504)=SIGN(_xlfn.XLOOKUP($C504,tPartidos[MatchID],tPartidos[GL_Real],0)-_xlfn.XLOOKUP($C504,tPartidos[MatchID],tPartidos[GV_Real],0)),CONFIG!$C$6,0))))</f>
        <v/>
      </c>
    </row>
    <row r="505" spans="6:6">
      <c r="F505" t="str">
        <f>IF($C505="","",IF(NOT(_xlfn.XLOOKUP($C505,tPartidos[MatchID],tPartidos[Jugado],"No")="Sí"),0,IF(AND($D505=_xlfn.XLOOKUP($C505,tPartidos[MatchID],tPartidos[GL_Real],""),$E505=_xlfn.XLOOKUP($C505,tPartidos[MatchID],tPartidos[GV_Real],"")),CONFIG!$C$5,IF(SIGN($D505-$E505)=SIGN(_xlfn.XLOOKUP($C505,tPartidos[MatchID],tPartidos[GL_Real],0)-_xlfn.XLOOKUP($C505,tPartidos[MatchID],tPartidos[GV_Real],0)),CONFIG!$C$6,0))))</f>
        <v/>
      </c>
    </row>
    <row r="506" spans="6:6">
      <c r="F506" t="str">
        <f>IF($C506="","",IF(NOT(_xlfn.XLOOKUP($C506,tPartidos[MatchID],tPartidos[Jugado],"No")="Sí"),0,IF(AND($D506=_xlfn.XLOOKUP($C506,tPartidos[MatchID],tPartidos[GL_Real],""),$E506=_xlfn.XLOOKUP($C506,tPartidos[MatchID],tPartidos[GV_Real],"")),CONFIG!$C$5,IF(SIGN($D506-$E506)=SIGN(_xlfn.XLOOKUP($C506,tPartidos[MatchID],tPartidos[GL_Real],0)-_xlfn.XLOOKUP($C506,tPartidos[MatchID],tPartidos[GV_Real],0)),CONFIG!$C$6,0))))</f>
        <v/>
      </c>
    </row>
    <row r="507" spans="6:6">
      <c r="F507" t="str">
        <f>IF($C507="","",IF(NOT(_xlfn.XLOOKUP($C507,tPartidos[MatchID],tPartidos[Jugado],"No")="Sí"),0,IF(AND($D507=_xlfn.XLOOKUP($C507,tPartidos[MatchID],tPartidos[GL_Real],""),$E507=_xlfn.XLOOKUP($C507,tPartidos[MatchID],tPartidos[GV_Real],"")),CONFIG!$C$5,IF(SIGN($D507-$E507)=SIGN(_xlfn.XLOOKUP($C507,tPartidos[MatchID],tPartidos[GL_Real],0)-_xlfn.XLOOKUP($C507,tPartidos[MatchID],tPartidos[GV_Real],0)),CONFIG!$C$6,0))))</f>
        <v/>
      </c>
    </row>
    <row r="508" spans="6:6">
      <c r="F508" t="str">
        <f>IF($C508="","",IF(NOT(_xlfn.XLOOKUP($C508,tPartidos[MatchID],tPartidos[Jugado],"No")="Sí"),0,IF(AND($D508=_xlfn.XLOOKUP($C508,tPartidos[MatchID],tPartidos[GL_Real],""),$E508=_xlfn.XLOOKUP($C508,tPartidos[MatchID],tPartidos[GV_Real],"")),CONFIG!$C$5,IF(SIGN($D508-$E508)=SIGN(_xlfn.XLOOKUP($C508,tPartidos[MatchID],tPartidos[GL_Real],0)-_xlfn.XLOOKUP($C508,tPartidos[MatchID],tPartidos[GV_Real],0)),CONFIG!$C$6,0))))</f>
        <v/>
      </c>
    </row>
    <row r="509" spans="6:6">
      <c r="F509" t="str">
        <f>IF($C509="","",IF(NOT(_xlfn.XLOOKUP($C509,tPartidos[MatchID],tPartidos[Jugado],"No")="Sí"),0,IF(AND($D509=_xlfn.XLOOKUP($C509,tPartidos[MatchID],tPartidos[GL_Real],""),$E509=_xlfn.XLOOKUP($C509,tPartidos[MatchID],tPartidos[GV_Real],"")),CONFIG!$C$5,IF(SIGN($D509-$E509)=SIGN(_xlfn.XLOOKUP($C509,tPartidos[MatchID],tPartidos[GL_Real],0)-_xlfn.XLOOKUP($C509,tPartidos[MatchID],tPartidos[GV_Real],0)),CONFIG!$C$6,0))))</f>
        <v/>
      </c>
    </row>
    <row r="510" spans="6:6">
      <c r="F510" t="str">
        <f>IF($C510="","",IF(NOT(_xlfn.XLOOKUP($C510,tPartidos[MatchID],tPartidos[Jugado],"No")="Sí"),0,IF(AND($D510=_xlfn.XLOOKUP($C510,tPartidos[MatchID],tPartidos[GL_Real],""),$E510=_xlfn.XLOOKUP($C510,tPartidos[MatchID],tPartidos[GV_Real],"")),CONFIG!$C$5,IF(SIGN($D510-$E510)=SIGN(_xlfn.XLOOKUP($C510,tPartidos[MatchID],tPartidos[GL_Real],0)-_xlfn.XLOOKUP($C510,tPartidos[MatchID],tPartidos[GV_Real],0)),CONFIG!$C$6,0))))</f>
        <v/>
      </c>
    </row>
    <row r="511" spans="6:6">
      <c r="F511" t="str">
        <f>IF($C511="","",IF(NOT(_xlfn.XLOOKUP($C511,tPartidos[MatchID],tPartidos[Jugado],"No")="Sí"),0,IF(AND($D511=_xlfn.XLOOKUP($C511,tPartidos[MatchID],tPartidos[GL_Real],""),$E511=_xlfn.XLOOKUP($C511,tPartidos[MatchID],tPartidos[GV_Real],"")),CONFIG!$C$5,IF(SIGN($D511-$E511)=SIGN(_xlfn.XLOOKUP($C511,tPartidos[MatchID],tPartidos[GL_Real],0)-_xlfn.XLOOKUP($C511,tPartidos[MatchID],tPartidos[GV_Real],0)),CONFIG!$C$6,0))))</f>
        <v/>
      </c>
    </row>
    <row r="512" spans="6:6">
      <c r="F512" t="str">
        <f>IF($C512="","",IF(NOT(_xlfn.XLOOKUP($C512,tPartidos[MatchID],tPartidos[Jugado],"No")="Sí"),0,IF(AND($D512=_xlfn.XLOOKUP($C512,tPartidos[MatchID],tPartidos[GL_Real],""),$E512=_xlfn.XLOOKUP($C512,tPartidos[MatchID],tPartidos[GV_Real],"")),CONFIG!$C$5,IF(SIGN($D512-$E512)=SIGN(_xlfn.XLOOKUP($C512,tPartidos[MatchID],tPartidos[GL_Real],0)-_xlfn.XLOOKUP($C512,tPartidos[MatchID],tPartidos[GV_Real],0)),CONFIG!$C$6,0))))</f>
        <v/>
      </c>
    </row>
    <row r="513" spans="6:6">
      <c r="F513" t="str">
        <f>IF($C513="","",IF(NOT(_xlfn.XLOOKUP($C513,tPartidos[MatchID],tPartidos[Jugado],"No")="Sí"),0,IF(AND($D513=_xlfn.XLOOKUP($C513,tPartidos[MatchID],tPartidos[GL_Real],""),$E513=_xlfn.XLOOKUP($C513,tPartidos[MatchID],tPartidos[GV_Real],"")),CONFIG!$C$5,IF(SIGN($D513-$E513)=SIGN(_xlfn.XLOOKUP($C513,tPartidos[MatchID],tPartidos[GL_Real],0)-_xlfn.XLOOKUP($C513,tPartidos[MatchID],tPartidos[GV_Real],0)),CONFIG!$C$6,0))))</f>
        <v/>
      </c>
    </row>
    <row r="514" spans="6:6">
      <c r="F514" t="str">
        <f>IF($C514="","",IF(NOT(_xlfn.XLOOKUP($C514,tPartidos[MatchID],tPartidos[Jugado],"No")="Sí"),0,IF(AND($D514=_xlfn.XLOOKUP($C514,tPartidos[MatchID],tPartidos[GL_Real],""),$E514=_xlfn.XLOOKUP($C514,tPartidos[MatchID],tPartidos[GV_Real],"")),CONFIG!$C$5,IF(SIGN($D514-$E514)=SIGN(_xlfn.XLOOKUP($C514,tPartidos[MatchID],tPartidos[GL_Real],0)-_xlfn.XLOOKUP($C514,tPartidos[MatchID],tPartidos[GV_Real],0)),CONFIG!$C$6,0))))</f>
        <v/>
      </c>
    </row>
    <row r="515" spans="6:6">
      <c r="F515" t="str">
        <f>IF($C515="","",IF(NOT(_xlfn.XLOOKUP($C515,tPartidos[MatchID],tPartidos[Jugado],"No")="Sí"),0,IF(AND($D515=_xlfn.XLOOKUP($C515,tPartidos[MatchID],tPartidos[GL_Real],""),$E515=_xlfn.XLOOKUP($C515,tPartidos[MatchID],tPartidos[GV_Real],"")),CONFIG!$C$5,IF(SIGN($D515-$E515)=SIGN(_xlfn.XLOOKUP($C515,tPartidos[MatchID],tPartidos[GL_Real],0)-_xlfn.XLOOKUP($C515,tPartidos[MatchID],tPartidos[GV_Real],0)),CONFIG!$C$6,0))))</f>
        <v/>
      </c>
    </row>
    <row r="516" spans="6:6">
      <c r="F516" t="str">
        <f>IF($C516="","",IF(NOT(_xlfn.XLOOKUP($C516,tPartidos[MatchID],tPartidos[Jugado],"No")="Sí"),0,IF(AND($D516=_xlfn.XLOOKUP($C516,tPartidos[MatchID],tPartidos[GL_Real],""),$E516=_xlfn.XLOOKUP($C516,tPartidos[MatchID],tPartidos[GV_Real],"")),CONFIG!$C$5,IF(SIGN($D516-$E516)=SIGN(_xlfn.XLOOKUP($C516,tPartidos[MatchID],tPartidos[GL_Real],0)-_xlfn.XLOOKUP($C516,tPartidos[MatchID],tPartidos[GV_Real],0)),CONFIG!$C$6,0))))</f>
        <v/>
      </c>
    </row>
    <row r="517" spans="6:6">
      <c r="F517" t="str">
        <f>IF($C517="","",IF(NOT(_xlfn.XLOOKUP($C517,tPartidos[MatchID],tPartidos[Jugado],"No")="Sí"),0,IF(AND($D517=_xlfn.XLOOKUP($C517,tPartidos[MatchID],tPartidos[GL_Real],""),$E517=_xlfn.XLOOKUP($C517,tPartidos[MatchID],tPartidos[GV_Real],"")),CONFIG!$C$5,IF(SIGN($D517-$E517)=SIGN(_xlfn.XLOOKUP($C517,tPartidos[MatchID],tPartidos[GL_Real],0)-_xlfn.XLOOKUP($C517,tPartidos[MatchID],tPartidos[GV_Real],0)),CONFIG!$C$6,0))))</f>
        <v/>
      </c>
    </row>
    <row r="518" spans="6:6">
      <c r="F518" t="str">
        <f>IF($C518="","",IF(NOT(_xlfn.XLOOKUP($C518,tPartidos[MatchID],tPartidos[Jugado],"No")="Sí"),0,IF(AND($D518=_xlfn.XLOOKUP($C518,tPartidos[MatchID],tPartidos[GL_Real],""),$E518=_xlfn.XLOOKUP($C518,tPartidos[MatchID],tPartidos[GV_Real],"")),CONFIG!$C$5,IF(SIGN($D518-$E518)=SIGN(_xlfn.XLOOKUP($C518,tPartidos[MatchID],tPartidos[GL_Real],0)-_xlfn.XLOOKUP($C518,tPartidos[MatchID],tPartidos[GV_Real],0)),CONFIG!$C$6,0))))</f>
        <v/>
      </c>
    </row>
    <row r="519" spans="6:6">
      <c r="F519" t="str">
        <f>IF($C519="","",IF(NOT(_xlfn.XLOOKUP($C519,tPartidos[MatchID],tPartidos[Jugado],"No")="Sí"),0,IF(AND($D519=_xlfn.XLOOKUP($C519,tPartidos[MatchID],tPartidos[GL_Real],""),$E519=_xlfn.XLOOKUP($C519,tPartidos[MatchID],tPartidos[GV_Real],"")),CONFIG!$C$5,IF(SIGN($D519-$E519)=SIGN(_xlfn.XLOOKUP($C519,tPartidos[MatchID],tPartidos[GL_Real],0)-_xlfn.XLOOKUP($C519,tPartidos[MatchID],tPartidos[GV_Real],0)),CONFIG!$C$6,0))))</f>
        <v/>
      </c>
    </row>
    <row r="520" spans="6:6">
      <c r="F520" t="str">
        <f>IF($C520="","",IF(NOT(_xlfn.XLOOKUP($C520,tPartidos[MatchID],tPartidos[Jugado],"No")="Sí"),0,IF(AND($D520=_xlfn.XLOOKUP($C520,tPartidos[MatchID],tPartidos[GL_Real],""),$E520=_xlfn.XLOOKUP($C520,tPartidos[MatchID],tPartidos[GV_Real],"")),CONFIG!$C$5,IF(SIGN($D520-$E520)=SIGN(_xlfn.XLOOKUP($C520,tPartidos[MatchID],tPartidos[GL_Real],0)-_xlfn.XLOOKUP($C520,tPartidos[MatchID],tPartidos[GV_Real],0)),CONFIG!$C$6,0))))</f>
        <v/>
      </c>
    </row>
    <row r="521" spans="6:6">
      <c r="F521" t="str">
        <f>IF($C521="","",IF(NOT(_xlfn.XLOOKUP($C521,tPartidos[MatchID],tPartidos[Jugado],"No")="Sí"),0,IF(AND($D521=_xlfn.XLOOKUP($C521,tPartidos[MatchID],tPartidos[GL_Real],""),$E521=_xlfn.XLOOKUP($C521,tPartidos[MatchID],tPartidos[GV_Real],"")),CONFIG!$C$5,IF(SIGN($D521-$E521)=SIGN(_xlfn.XLOOKUP($C521,tPartidos[MatchID],tPartidos[GL_Real],0)-_xlfn.XLOOKUP($C521,tPartidos[MatchID],tPartidos[GV_Real],0)),CONFIG!$C$6,0))))</f>
        <v/>
      </c>
    </row>
    <row r="522" spans="6:6">
      <c r="F522" t="str">
        <f>IF($C522="","",IF(NOT(_xlfn.XLOOKUP($C522,tPartidos[MatchID],tPartidos[Jugado],"No")="Sí"),0,IF(AND($D522=_xlfn.XLOOKUP($C522,tPartidos[MatchID],tPartidos[GL_Real],""),$E522=_xlfn.XLOOKUP($C522,tPartidos[MatchID],tPartidos[GV_Real],"")),CONFIG!$C$5,IF(SIGN($D522-$E522)=SIGN(_xlfn.XLOOKUP($C522,tPartidos[MatchID],tPartidos[GL_Real],0)-_xlfn.XLOOKUP($C522,tPartidos[MatchID],tPartidos[GV_Real],0)),CONFIG!$C$6,0))))</f>
        <v/>
      </c>
    </row>
    <row r="523" spans="6:6">
      <c r="F523" t="str">
        <f>IF($C523="","",IF(NOT(_xlfn.XLOOKUP($C523,tPartidos[MatchID],tPartidos[Jugado],"No")="Sí"),0,IF(AND($D523=_xlfn.XLOOKUP($C523,tPartidos[MatchID],tPartidos[GL_Real],""),$E523=_xlfn.XLOOKUP($C523,tPartidos[MatchID],tPartidos[GV_Real],"")),CONFIG!$C$5,IF(SIGN($D523-$E523)=SIGN(_xlfn.XLOOKUP($C523,tPartidos[MatchID],tPartidos[GL_Real],0)-_xlfn.XLOOKUP($C523,tPartidos[MatchID],tPartidos[GV_Real],0)),CONFIG!$C$6,0))))</f>
        <v/>
      </c>
    </row>
    <row r="524" spans="6:6">
      <c r="F524" t="str">
        <f>IF($C524="","",IF(NOT(_xlfn.XLOOKUP($C524,tPartidos[MatchID],tPartidos[Jugado],"No")="Sí"),0,IF(AND($D524=_xlfn.XLOOKUP($C524,tPartidos[MatchID],tPartidos[GL_Real],""),$E524=_xlfn.XLOOKUP($C524,tPartidos[MatchID],tPartidos[GV_Real],"")),CONFIG!$C$5,IF(SIGN($D524-$E524)=SIGN(_xlfn.XLOOKUP($C524,tPartidos[MatchID],tPartidos[GL_Real],0)-_xlfn.XLOOKUP($C524,tPartidos[MatchID],tPartidos[GV_Real],0)),CONFIG!$C$6,0))))</f>
        <v/>
      </c>
    </row>
    <row r="525" spans="6:6">
      <c r="F525" t="str">
        <f>IF($C525="","",IF(NOT(_xlfn.XLOOKUP($C525,tPartidos[MatchID],tPartidos[Jugado],"No")="Sí"),0,IF(AND($D525=_xlfn.XLOOKUP($C525,tPartidos[MatchID],tPartidos[GL_Real],""),$E525=_xlfn.XLOOKUP($C525,tPartidos[MatchID],tPartidos[GV_Real],"")),CONFIG!$C$5,IF(SIGN($D525-$E525)=SIGN(_xlfn.XLOOKUP($C525,tPartidos[MatchID],tPartidos[GL_Real],0)-_xlfn.XLOOKUP($C525,tPartidos[MatchID],tPartidos[GV_Real],0)),CONFIG!$C$6,0))))</f>
        <v/>
      </c>
    </row>
    <row r="526" spans="6:6">
      <c r="F526" t="str">
        <f>IF($C526="","",IF(NOT(_xlfn.XLOOKUP($C526,tPartidos[MatchID],tPartidos[Jugado],"No")="Sí"),0,IF(AND($D526=_xlfn.XLOOKUP($C526,tPartidos[MatchID],tPartidos[GL_Real],""),$E526=_xlfn.XLOOKUP($C526,tPartidos[MatchID],tPartidos[GV_Real],"")),CONFIG!$C$5,IF(SIGN($D526-$E526)=SIGN(_xlfn.XLOOKUP($C526,tPartidos[MatchID],tPartidos[GL_Real],0)-_xlfn.XLOOKUP($C526,tPartidos[MatchID],tPartidos[GV_Real],0)),CONFIG!$C$6,0))))</f>
        <v/>
      </c>
    </row>
    <row r="527" spans="6:6">
      <c r="F527" t="str">
        <f>IF($C527="","",IF(NOT(_xlfn.XLOOKUP($C527,tPartidos[MatchID],tPartidos[Jugado],"No")="Sí"),0,IF(AND($D527=_xlfn.XLOOKUP($C527,tPartidos[MatchID],tPartidos[GL_Real],""),$E527=_xlfn.XLOOKUP($C527,tPartidos[MatchID],tPartidos[GV_Real],"")),CONFIG!$C$5,IF(SIGN($D527-$E527)=SIGN(_xlfn.XLOOKUP($C527,tPartidos[MatchID],tPartidos[GL_Real],0)-_xlfn.XLOOKUP($C527,tPartidos[MatchID],tPartidos[GV_Real],0)),CONFIG!$C$6,0))))</f>
        <v/>
      </c>
    </row>
    <row r="528" spans="6:6">
      <c r="F528" t="str">
        <f>IF($C528="","",IF(NOT(_xlfn.XLOOKUP($C528,tPartidos[MatchID],tPartidos[Jugado],"No")="Sí"),0,IF(AND($D528=_xlfn.XLOOKUP($C528,tPartidos[MatchID],tPartidos[GL_Real],""),$E528=_xlfn.XLOOKUP($C528,tPartidos[MatchID],tPartidos[GV_Real],"")),CONFIG!$C$5,IF(SIGN($D528-$E528)=SIGN(_xlfn.XLOOKUP($C528,tPartidos[MatchID],tPartidos[GL_Real],0)-_xlfn.XLOOKUP($C528,tPartidos[MatchID],tPartidos[GV_Real],0)),CONFIG!$C$6,0))))</f>
        <v/>
      </c>
    </row>
    <row r="529" spans="6:6">
      <c r="F529" t="str">
        <f>IF($C529="","",IF(NOT(_xlfn.XLOOKUP($C529,tPartidos[MatchID],tPartidos[Jugado],"No")="Sí"),0,IF(AND($D529=_xlfn.XLOOKUP($C529,tPartidos[MatchID],tPartidos[GL_Real],""),$E529=_xlfn.XLOOKUP($C529,tPartidos[MatchID],tPartidos[GV_Real],"")),CONFIG!$C$5,IF(SIGN($D529-$E529)=SIGN(_xlfn.XLOOKUP($C529,tPartidos[MatchID],tPartidos[GL_Real],0)-_xlfn.XLOOKUP($C529,tPartidos[MatchID],tPartidos[GV_Real],0)),CONFIG!$C$6,0))))</f>
        <v/>
      </c>
    </row>
    <row r="530" spans="6:6">
      <c r="F530" t="str">
        <f>IF($C530="","",IF(NOT(_xlfn.XLOOKUP($C530,tPartidos[MatchID],tPartidos[Jugado],"No")="Sí"),0,IF(AND($D530=_xlfn.XLOOKUP($C530,tPartidos[MatchID],tPartidos[GL_Real],""),$E530=_xlfn.XLOOKUP($C530,tPartidos[MatchID],tPartidos[GV_Real],"")),CONFIG!$C$5,IF(SIGN($D530-$E530)=SIGN(_xlfn.XLOOKUP($C530,tPartidos[MatchID],tPartidos[GL_Real],0)-_xlfn.XLOOKUP($C530,tPartidos[MatchID],tPartidos[GV_Real],0)),CONFIG!$C$6,0))))</f>
        <v/>
      </c>
    </row>
    <row r="531" spans="6:6">
      <c r="F531" t="str">
        <f>IF($C531="","",IF(NOT(_xlfn.XLOOKUP($C531,tPartidos[MatchID],tPartidos[Jugado],"No")="Sí"),0,IF(AND($D531=_xlfn.XLOOKUP($C531,tPartidos[MatchID],tPartidos[GL_Real],""),$E531=_xlfn.XLOOKUP($C531,tPartidos[MatchID],tPartidos[GV_Real],"")),CONFIG!$C$5,IF(SIGN($D531-$E531)=SIGN(_xlfn.XLOOKUP($C531,tPartidos[MatchID],tPartidos[GL_Real],0)-_xlfn.XLOOKUP($C531,tPartidos[MatchID],tPartidos[GV_Real],0)),CONFIG!$C$6,0))))</f>
        <v/>
      </c>
    </row>
    <row r="532" spans="6:6">
      <c r="F532" t="str">
        <f>IF($C532="","",IF(NOT(_xlfn.XLOOKUP($C532,tPartidos[MatchID],tPartidos[Jugado],"No")="Sí"),0,IF(AND($D532=_xlfn.XLOOKUP($C532,tPartidos[MatchID],tPartidos[GL_Real],""),$E532=_xlfn.XLOOKUP($C532,tPartidos[MatchID],tPartidos[GV_Real],"")),CONFIG!$C$5,IF(SIGN($D532-$E532)=SIGN(_xlfn.XLOOKUP($C532,tPartidos[MatchID],tPartidos[GL_Real],0)-_xlfn.XLOOKUP($C532,tPartidos[MatchID],tPartidos[GV_Real],0)),CONFIG!$C$6,0))))</f>
        <v/>
      </c>
    </row>
    <row r="533" spans="6:6">
      <c r="F533" t="str">
        <f>IF($C533="","",IF(NOT(_xlfn.XLOOKUP($C533,tPartidos[MatchID],tPartidos[Jugado],"No")="Sí"),0,IF(AND($D533=_xlfn.XLOOKUP($C533,tPartidos[MatchID],tPartidos[GL_Real],""),$E533=_xlfn.XLOOKUP($C533,tPartidos[MatchID],tPartidos[GV_Real],"")),CONFIG!$C$5,IF(SIGN($D533-$E533)=SIGN(_xlfn.XLOOKUP($C533,tPartidos[MatchID],tPartidos[GL_Real],0)-_xlfn.XLOOKUP($C533,tPartidos[MatchID],tPartidos[GV_Real],0)),CONFIG!$C$6,0))))</f>
        <v/>
      </c>
    </row>
    <row r="534" spans="6:6">
      <c r="F534" t="str">
        <f>IF($C534="","",IF(NOT(_xlfn.XLOOKUP($C534,tPartidos[MatchID],tPartidos[Jugado],"No")="Sí"),0,IF(AND($D534=_xlfn.XLOOKUP($C534,tPartidos[MatchID],tPartidos[GL_Real],""),$E534=_xlfn.XLOOKUP($C534,tPartidos[MatchID],tPartidos[GV_Real],"")),CONFIG!$C$5,IF(SIGN($D534-$E534)=SIGN(_xlfn.XLOOKUP($C534,tPartidos[MatchID],tPartidos[GL_Real],0)-_xlfn.XLOOKUP($C534,tPartidos[MatchID],tPartidos[GV_Real],0)),CONFIG!$C$6,0))))</f>
        <v/>
      </c>
    </row>
    <row r="535" spans="6:6">
      <c r="F535" t="str">
        <f>IF($C535="","",IF(NOT(_xlfn.XLOOKUP($C535,tPartidos[MatchID],tPartidos[Jugado],"No")="Sí"),0,IF(AND($D535=_xlfn.XLOOKUP($C535,tPartidos[MatchID],tPartidos[GL_Real],""),$E535=_xlfn.XLOOKUP($C535,tPartidos[MatchID],tPartidos[GV_Real],"")),CONFIG!$C$5,IF(SIGN($D535-$E535)=SIGN(_xlfn.XLOOKUP($C535,tPartidos[MatchID],tPartidos[GL_Real],0)-_xlfn.XLOOKUP($C535,tPartidos[MatchID],tPartidos[GV_Real],0)),CONFIG!$C$6,0))))</f>
        <v/>
      </c>
    </row>
    <row r="536" spans="6:6">
      <c r="F536" t="str">
        <f>IF($C536="","",IF(NOT(_xlfn.XLOOKUP($C536,tPartidos[MatchID],tPartidos[Jugado],"No")="Sí"),0,IF(AND($D536=_xlfn.XLOOKUP($C536,tPartidos[MatchID],tPartidos[GL_Real],""),$E536=_xlfn.XLOOKUP($C536,tPartidos[MatchID],tPartidos[GV_Real],"")),CONFIG!$C$5,IF(SIGN($D536-$E536)=SIGN(_xlfn.XLOOKUP($C536,tPartidos[MatchID],tPartidos[GL_Real],0)-_xlfn.XLOOKUP($C536,tPartidos[MatchID],tPartidos[GV_Real],0)),CONFIG!$C$6,0))))</f>
        <v/>
      </c>
    </row>
    <row r="537" spans="6:6">
      <c r="F537" t="str">
        <f>IF($C537="","",IF(NOT(_xlfn.XLOOKUP($C537,tPartidos[MatchID],tPartidos[Jugado],"No")="Sí"),0,IF(AND($D537=_xlfn.XLOOKUP($C537,tPartidos[MatchID],tPartidos[GL_Real],""),$E537=_xlfn.XLOOKUP($C537,tPartidos[MatchID],tPartidos[GV_Real],"")),CONFIG!$C$5,IF(SIGN($D537-$E537)=SIGN(_xlfn.XLOOKUP($C537,tPartidos[MatchID],tPartidos[GL_Real],0)-_xlfn.XLOOKUP($C537,tPartidos[MatchID],tPartidos[GV_Real],0)),CONFIG!$C$6,0))))</f>
        <v/>
      </c>
    </row>
    <row r="538" spans="6:6">
      <c r="F538" t="str">
        <f>IF($C538="","",IF(NOT(_xlfn.XLOOKUP($C538,tPartidos[MatchID],tPartidos[Jugado],"No")="Sí"),0,IF(AND($D538=_xlfn.XLOOKUP($C538,tPartidos[MatchID],tPartidos[GL_Real],""),$E538=_xlfn.XLOOKUP($C538,tPartidos[MatchID],tPartidos[GV_Real],"")),CONFIG!$C$5,IF(SIGN($D538-$E538)=SIGN(_xlfn.XLOOKUP($C538,tPartidos[MatchID],tPartidos[GL_Real],0)-_xlfn.XLOOKUP($C538,tPartidos[MatchID],tPartidos[GV_Real],0)),CONFIG!$C$6,0))))</f>
        <v/>
      </c>
    </row>
    <row r="539" spans="6:6">
      <c r="F539" t="str">
        <f>IF($C539="","",IF(NOT(_xlfn.XLOOKUP($C539,tPartidos[MatchID],tPartidos[Jugado],"No")="Sí"),0,IF(AND($D539=_xlfn.XLOOKUP($C539,tPartidos[MatchID],tPartidos[GL_Real],""),$E539=_xlfn.XLOOKUP($C539,tPartidos[MatchID],tPartidos[GV_Real],"")),CONFIG!$C$5,IF(SIGN($D539-$E539)=SIGN(_xlfn.XLOOKUP($C539,tPartidos[MatchID],tPartidos[GL_Real],0)-_xlfn.XLOOKUP($C539,tPartidos[MatchID],tPartidos[GV_Real],0)),CONFIG!$C$6,0))))</f>
        <v/>
      </c>
    </row>
    <row r="540" spans="6:6">
      <c r="F540" t="str">
        <f>IF($C540="","",IF(NOT(_xlfn.XLOOKUP($C540,tPartidos[MatchID],tPartidos[Jugado],"No")="Sí"),0,IF(AND($D540=_xlfn.XLOOKUP($C540,tPartidos[MatchID],tPartidos[GL_Real],""),$E540=_xlfn.XLOOKUP($C540,tPartidos[MatchID],tPartidos[GV_Real],"")),CONFIG!$C$5,IF(SIGN($D540-$E540)=SIGN(_xlfn.XLOOKUP($C540,tPartidos[MatchID],tPartidos[GL_Real],0)-_xlfn.XLOOKUP($C540,tPartidos[MatchID],tPartidos[GV_Real],0)),CONFIG!$C$6,0))))</f>
        <v/>
      </c>
    </row>
    <row r="541" spans="6:6">
      <c r="F541" t="str">
        <f>IF($C541="","",IF(NOT(_xlfn.XLOOKUP($C541,tPartidos[MatchID],tPartidos[Jugado],"No")="Sí"),0,IF(AND($D541=_xlfn.XLOOKUP($C541,tPartidos[MatchID],tPartidos[GL_Real],""),$E541=_xlfn.XLOOKUP($C541,tPartidos[MatchID],tPartidos[GV_Real],"")),CONFIG!$C$5,IF(SIGN($D541-$E541)=SIGN(_xlfn.XLOOKUP($C541,tPartidos[MatchID],tPartidos[GL_Real],0)-_xlfn.XLOOKUP($C541,tPartidos[MatchID],tPartidos[GV_Real],0)),CONFIG!$C$6,0))))</f>
        <v/>
      </c>
    </row>
    <row r="542" spans="6:6">
      <c r="F542" t="str">
        <f>IF($C542="","",IF(NOT(_xlfn.XLOOKUP($C542,tPartidos[MatchID],tPartidos[Jugado],"No")="Sí"),0,IF(AND($D542=_xlfn.XLOOKUP($C542,tPartidos[MatchID],tPartidos[GL_Real],""),$E542=_xlfn.XLOOKUP($C542,tPartidos[MatchID],tPartidos[GV_Real],"")),CONFIG!$C$5,IF(SIGN($D542-$E542)=SIGN(_xlfn.XLOOKUP($C542,tPartidos[MatchID],tPartidos[GL_Real],0)-_xlfn.XLOOKUP($C542,tPartidos[MatchID],tPartidos[GV_Real],0)),CONFIG!$C$6,0))))</f>
        <v/>
      </c>
    </row>
    <row r="543" spans="6:6">
      <c r="F543" t="str">
        <f>IF($C543="","",IF(NOT(_xlfn.XLOOKUP($C543,tPartidos[MatchID],tPartidos[Jugado],"No")="Sí"),0,IF(AND($D543=_xlfn.XLOOKUP($C543,tPartidos[MatchID],tPartidos[GL_Real],""),$E543=_xlfn.XLOOKUP($C543,tPartidos[MatchID],tPartidos[GV_Real],"")),CONFIG!$C$5,IF(SIGN($D543-$E543)=SIGN(_xlfn.XLOOKUP($C543,tPartidos[MatchID],tPartidos[GL_Real],0)-_xlfn.XLOOKUP($C543,tPartidos[MatchID],tPartidos[GV_Real],0)),CONFIG!$C$6,0))))</f>
        <v/>
      </c>
    </row>
    <row r="544" spans="6:6">
      <c r="F544" t="str">
        <f>IF($C544="","",IF(NOT(_xlfn.XLOOKUP($C544,tPartidos[MatchID],tPartidos[Jugado],"No")="Sí"),0,IF(AND($D544=_xlfn.XLOOKUP($C544,tPartidos[MatchID],tPartidos[GL_Real],""),$E544=_xlfn.XLOOKUP($C544,tPartidos[MatchID],tPartidos[GV_Real],"")),CONFIG!$C$5,IF(SIGN($D544-$E544)=SIGN(_xlfn.XLOOKUP($C544,tPartidos[MatchID],tPartidos[GL_Real],0)-_xlfn.XLOOKUP($C544,tPartidos[MatchID],tPartidos[GV_Real],0)),CONFIG!$C$6,0))))</f>
        <v/>
      </c>
    </row>
    <row r="545" spans="6:6">
      <c r="F545" t="str">
        <f>IF($C545="","",IF(NOT(_xlfn.XLOOKUP($C545,tPartidos[MatchID],tPartidos[Jugado],"No")="Sí"),0,IF(AND($D545=_xlfn.XLOOKUP($C545,tPartidos[MatchID],tPartidos[GL_Real],""),$E545=_xlfn.XLOOKUP($C545,tPartidos[MatchID],tPartidos[GV_Real],"")),CONFIG!$C$5,IF(SIGN($D545-$E545)=SIGN(_xlfn.XLOOKUP($C545,tPartidos[MatchID],tPartidos[GL_Real],0)-_xlfn.XLOOKUP($C545,tPartidos[MatchID],tPartidos[GV_Real],0)),CONFIG!$C$6,0))))</f>
        <v/>
      </c>
    </row>
    <row r="546" spans="6:6">
      <c r="F546" t="str">
        <f>IF($C546="","",IF(NOT(_xlfn.XLOOKUP($C546,tPartidos[MatchID],tPartidos[Jugado],"No")="Sí"),0,IF(AND($D546=_xlfn.XLOOKUP($C546,tPartidos[MatchID],tPartidos[GL_Real],""),$E546=_xlfn.XLOOKUP($C546,tPartidos[MatchID],tPartidos[GV_Real],"")),CONFIG!$C$5,IF(SIGN($D546-$E546)=SIGN(_xlfn.XLOOKUP($C546,tPartidos[MatchID],tPartidos[GL_Real],0)-_xlfn.XLOOKUP($C546,tPartidos[MatchID],tPartidos[GV_Real],0)),CONFIG!$C$6,0))))</f>
        <v/>
      </c>
    </row>
    <row r="547" spans="6:6">
      <c r="F547" t="str">
        <f>IF($C547="","",IF(NOT(_xlfn.XLOOKUP($C547,tPartidos[MatchID],tPartidos[Jugado],"No")="Sí"),0,IF(AND($D547=_xlfn.XLOOKUP($C547,tPartidos[MatchID],tPartidos[GL_Real],""),$E547=_xlfn.XLOOKUP($C547,tPartidos[MatchID],tPartidos[GV_Real],"")),CONFIG!$C$5,IF(SIGN($D547-$E547)=SIGN(_xlfn.XLOOKUP($C547,tPartidos[MatchID],tPartidos[GL_Real],0)-_xlfn.XLOOKUP($C547,tPartidos[MatchID],tPartidos[GV_Real],0)),CONFIG!$C$6,0))))</f>
        <v/>
      </c>
    </row>
    <row r="548" spans="6:6">
      <c r="F548" t="str">
        <f>IF($C548="","",IF(NOT(_xlfn.XLOOKUP($C548,tPartidos[MatchID],tPartidos[Jugado],"No")="Sí"),0,IF(AND($D548=_xlfn.XLOOKUP($C548,tPartidos[MatchID],tPartidos[GL_Real],""),$E548=_xlfn.XLOOKUP($C548,tPartidos[MatchID],tPartidos[GV_Real],"")),CONFIG!$C$5,IF(SIGN($D548-$E548)=SIGN(_xlfn.XLOOKUP($C548,tPartidos[MatchID],tPartidos[GL_Real],0)-_xlfn.XLOOKUP($C548,tPartidos[MatchID],tPartidos[GV_Real],0)),CONFIG!$C$6,0))))</f>
        <v/>
      </c>
    </row>
    <row r="549" spans="6:6">
      <c r="F549" t="str">
        <f>IF($C549="","",IF(NOT(_xlfn.XLOOKUP($C549,tPartidos[MatchID],tPartidos[Jugado],"No")="Sí"),0,IF(AND($D549=_xlfn.XLOOKUP($C549,tPartidos[MatchID],tPartidos[GL_Real],""),$E549=_xlfn.XLOOKUP($C549,tPartidos[MatchID],tPartidos[GV_Real],"")),CONFIG!$C$5,IF(SIGN($D549-$E549)=SIGN(_xlfn.XLOOKUP($C549,tPartidos[MatchID],tPartidos[GL_Real],0)-_xlfn.XLOOKUP($C549,tPartidos[MatchID],tPartidos[GV_Real],0)),CONFIG!$C$6,0))))</f>
        <v/>
      </c>
    </row>
    <row r="550" spans="6:6">
      <c r="F550" t="str">
        <f>IF($C550="","",IF(NOT(_xlfn.XLOOKUP($C550,tPartidos[MatchID],tPartidos[Jugado],"No")="Sí"),0,IF(AND($D550=_xlfn.XLOOKUP($C550,tPartidos[MatchID],tPartidos[GL_Real],""),$E550=_xlfn.XLOOKUP($C550,tPartidos[MatchID],tPartidos[GV_Real],"")),CONFIG!$C$5,IF(SIGN($D550-$E550)=SIGN(_xlfn.XLOOKUP($C550,tPartidos[MatchID],tPartidos[GL_Real],0)-_xlfn.XLOOKUP($C550,tPartidos[MatchID],tPartidos[GV_Real],0)),CONFIG!$C$6,0))))</f>
        <v/>
      </c>
    </row>
    <row r="551" spans="6:6">
      <c r="F551" t="str">
        <f>IF($C551="","",IF(NOT(_xlfn.XLOOKUP($C551,tPartidos[MatchID],tPartidos[Jugado],"No")="Sí"),0,IF(AND($D551=_xlfn.XLOOKUP($C551,tPartidos[MatchID],tPartidos[GL_Real],""),$E551=_xlfn.XLOOKUP($C551,tPartidos[MatchID],tPartidos[GV_Real],"")),CONFIG!$C$5,IF(SIGN($D551-$E551)=SIGN(_xlfn.XLOOKUP($C551,tPartidos[MatchID],tPartidos[GL_Real],0)-_xlfn.XLOOKUP($C551,tPartidos[MatchID],tPartidos[GV_Real],0)),CONFIG!$C$6,0))))</f>
        <v/>
      </c>
    </row>
    <row r="552" spans="6:6">
      <c r="F552" t="str">
        <f>IF($C552="","",IF(NOT(_xlfn.XLOOKUP($C552,tPartidos[MatchID],tPartidos[Jugado],"No")="Sí"),0,IF(AND($D552=_xlfn.XLOOKUP($C552,tPartidos[MatchID],tPartidos[GL_Real],""),$E552=_xlfn.XLOOKUP($C552,tPartidos[MatchID],tPartidos[GV_Real],"")),CONFIG!$C$5,IF(SIGN($D552-$E552)=SIGN(_xlfn.XLOOKUP($C552,tPartidos[MatchID],tPartidos[GL_Real],0)-_xlfn.XLOOKUP($C552,tPartidos[MatchID],tPartidos[GV_Real],0)),CONFIG!$C$6,0))))</f>
        <v/>
      </c>
    </row>
    <row r="553" spans="6:6">
      <c r="F553" t="str">
        <f>IF($C553="","",IF(NOT(_xlfn.XLOOKUP($C553,tPartidos[MatchID],tPartidos[Jugado],"No")="Sí"),0,IF(AND($D553=_xlfn.XLOOKUP($C553,tPartidos[MatchID],tPartidos[GL_Real],""),$E553=_xlfn.XLOOKUP($C553,tPartidos[MatchID],tPartidos[GV_Real],"")),CONFIG!$C$5,IF(SIGN($D553-$E553)=SIGN(_xlfn.XLOOKUP($C553,tPartidos[MatchID],tPartidos[GL_Real],0)-_xlfn.XLOOKUP($C553,tPartidos[MatchID],tPartidos[GV_Real],0)),CONFIG!$C$6,0))))</f>
        <v/>
      </c>
    </row>
    <row r="554" spans="6:6">
      <c r="F554" t="str">
        <f>IF($C554="","",IF(NOT(_xlfn.XLOOKUP($C554,tPartidos[MatchID],tPartidos[Jugado],"No")="Sí"),0,IF(AND($D554=_xlfn.XLOOKUP($C554,tPartidos[MatchID],tPartidos[GL_Real],""),$E554=_xlfn.XLOOKUP($C554,tPartidos[MatchID],tPartidos[GV_Real],"")),CONFIG!$C$5,IF(SIGN($D554-$E554)=SIGN(_xlfn.XLOOKUP($C554,tPartidos[MatchID],tPartidos[GL_Real],0)-_xlfn.XLOOKUP($C554,tPartidos[MatchID],tPartidos[GV_Real],0)),CONFIG!$C$6,0))))</f>
        <v/>
      </c>
    </row>
    <row r="555" spans="6:6">
      <c r="F555" t="str">
        <f>IF($C555="","",IF(NOT(_xlfn.XLOOKUP($C555,tPartidos[MatchID],tPartidos[Jugado],"No")="Sí"),0,IF(AND($D555=_xlfn.XLOOKUP($C555,tPartidos[MatchID],tPartidos[GL_Real],""),$E555=_xlfn.XLOOKUP($C555,tPartidos[MatchID],tPartidos[GV_Real],"")),CONFIG!$C$5,IF(SIGN($D555-$E555)=SIGN(_xlfn.XLOOKUP($C555,tPartidos[MatchID],tPartidos[GL_Real],0)-_xlfn.XLOOKUP($C555,tPartidos[MatchID],tPartidos[GV_Real],0)),CONFIG!$C$6,0))))</f>
        <v/>
      </c>
    </row>
    <row r="556" spans="6:6">
      <c r="F556" t="str">
        <f>IF($C556="","",IF(NOT(_xlfn.XLOOKUP($C556,tPartidos[MatchID],tPartidos[Jugado],"No")="Sí"),0,IF(AND($D556=_xlfn.XLOOKUP($C556,tPartidos[MatchID],tPartidos[GL_Real],""),$E556=_xlfn.XLOOKUP($C556,tPartidos[MatchID],tPartidos[GV_Real],"")),CONFIG!$C$5,IF(SIGN($D556-$E556)=SIGN(_xlfn.XLOOKUP($C556,tPartidos[MatchID],tPartidos[GL_Real],0)-_xlfn.XLOOKUP($C556,tPartidos[MatchID],tPartidos[GV_Real],0)),CONFIG!$C$6,0))))</f>
        <v/>
      </c>
    </row>
    <row r="557" spans="6:6">
      <c r="F557" t="str">
        <f>IF($C557="","",IF(NOT(_xlfn.XLOOKUP($C557,tPartidos[MatchID],tPartidos[Jugado],"No")="Sí"),0,IF(AND($D557=_xlfn.XLOOKUP($C557,tPartidos[MatchID],tPartidos[GL_Real],""),$E557=_xlfn.XLOOKUP($C557,tPartidos[MatchID],tPartidos[GV_Real],"")),CONFIG!$C$5,IF(SIGN($D557-$E557)=SIGN(_xlfn.XLOOKUP($C557,tPartidos[MatchID],tPartidos[GL_Real],0)-_xlfn.XLOOKUP($C557,tPartidos[MatchID],tPartidos[GV_Real],0)),CONFIG!$C$6,0))))</f>
        <v/>
      </c>
    </row>
    <row r="558" spans="6:6">
      <c r="F558" t="str">
        <f>IF($C558="","",IF(NOT(_xlfn.XLOOKUP($C558,tPartidos[MatchID],tPartidos[Jugado],"No")="Sí"),0,IF(AND($D558=_xlfn.XLOOKUP($C558,tPartidos[MatchID],tPartidos[GL_Real],""),$E558=_xlfn.XLOOKUP($C558,tPartidos[MatchID],tPartidos[GV_Real],"")),CONFIG!$C$5,IF(SIGN($D558-$E558)=SIGN(_xlfn.XLOOKUP($C558,tPartidos[MatchID],tPartidos[GL_Real],0)-_xlfn.XLOOKUP($C558,tPartidos[MatchID],tPartidos[GV_Real],0)),CONFIG!$C$6,0))))</f>
        <v/>
      </c>
    </row>
    <row r="559" spans="6:6">
      <c r="F559" t="str">
        <f>IF($C559="","",IF(NOT(_xlfn.XLOOKUP($C559,tPartidos[MatchID],tPartidos[Jugado],"No")="Sí"),0,IF(AND($D559=_xlfn.XLOOKUP($C559,tPartidos[MatchID],tPartidos[GL_Real],""),$E559=_xlfn.XLOOKUP($C559,tPartidos[MatchID],tPartidos[GV_Real],"")),CONFIG!$C$5,IF(SIGN($D559-$E559)=SIGN(_xlfn.XLOOKUP($C559,tPartidos[MatchID],tPartidos[GL_Real],0)-_xlfn.XLOOKUP($C559,tPartidos[MatchID],tPartidos[GV_Real],0)),CONFIG!$C$6,0))))</f>
        <v/>
      </c>
    </row>
    <row r="560" spans="6:6">
      <c r="F560" t="str">
        <f>IF($C560="","",IF(NOT(_xlfn.XLOOKUP($C560,tPartidos[MatchID],tPartidos[Jugado],"No")="Sí"),0,IF(AND($D560=_xlfn.XLOOKUP($C560,tPartidos[MatchID],tPartidos[GL_Real],""),$E560=_xlfn.XLOOKUP($C560,tPartidos[MatchID],tPartidos[GV_Real],"")),CONFIG!$C$5,IF(SIGN($D560-$E560)=SIGN(_xlfn.XLOOKUP($C560,tPartidos[MatchID],tPartidos[GL_Real],0)-_xlfn.XLOOKUP($C560,tPartidos[MatchID],tPartidos[GV_Real],0)),CONFIG!$C$6,0))))</f>
        <v/>
      </c>
    </row>
    <row r="561" spans="6:6">
      <c r="F561" t="str">
        <f>IF($C561="","",IF(NOT(_xlfn.XLOOKUP($C561,tPartidos[MatchID],tPartidos[Jugado],"No")="Sí"),0,IF(AND($D561=_xlfn.XLOOKUP($C561,tPartidos[MatchID],tPartidos[GL_Real],""),$E561=_xlfn.XLOOKUP($C561,tPartidos[MatchID],tPartidos[GV_Real],"")),CONFIG!$C$5,IF(SIGN($D561-$E561)=SIGN(_xlfn.XLOOKUP($C561,tPartidos[MatchID],tPartidos[GL_Real],0)-_xlfn.XLOOKUP($C561,tPartidos[MatchID],tPartidos[GV_Real],0)),CONFIG!$C$6,0))))</f>
        <v/>
      </c>
    </row>
    <row r="562" spans="6:6">
      <c r="F562" t="str">
        <f>IF($C562="","",IF(NOT(_xlfn.XLOOKUP($C562,tPartidos[MatchID],tPartidos[Jugado],"No")="Sí"),0,IF(AND($D562=_xlfn.XLOOKUP($C562,tPartidos[MatchID],tPartidos[GL_Real],""),$E562=_xlfn.XLOOKUP($C562,tPartidos[MatchID],tPartidos[GV_Real],"")),CONFIG!$C$5,IF(SIGN($D562-$E562)=SIGN(_xlfn.XLOOKUP($C562,tPartidos[MatchID],tPartidos[GL_Real],0)-_xlfn.XLOOKUP($C562,tPartidos[MatchID],tPartidos[GV_Real],0)),CONFIG!$C$6,0))))</f>
        <v/>
      </c>
    </row>
    <row r="563" spans="6:6">
      <c r="F563" t="str">
        <f>IF($C563="","",IF(NOT(_xlfn.XLOOKUP($C563,tPartidos[MatchID],tPartidos[Jugado],"No")="Sí"),0,IF(AND($D563=_xlfn.XLOOKUP($C563,tPartidos[MatchID],tPartidos[GL_Real],""),$E563=_xlfn.XLOOKUP($C563,tPartidos[MatchID],tPartidos[GV_Real],"")),CONFIG!$C$5,IF(SIGN($D563-$E563)=SIGN(_xlfn.XLOOKUP($C563,tPartidos[MatchID],tPartidos[GL_Real],0)-_xlfn.XLOOKUP($C563,tPartidos[MatchID],tPartidos[GV_Real],0)),CONFIG!$C$6,0))))</f>
        <v/>
      </c>
    </row>
    <row r="564" spans="6:6">
      <c r="F564" t="str">
        <f>IF($C564="","",IF(NOT(_xlfn.XLOOKUP($C564,tPartidos[MatchID],tPartidos[Jugado],"No")="Sí"),0,IF(AND($D564=_xlfn.XLOOKUP($C564,tPartidos[MatchID],tPartidos[GL_Real],""),$E564=_xlfn.XLOOKUP($C564,tPartidos[MatchID],tPartidos[GV_Real],"")),CONFIG!$C$5,IF(SIGN($D564-$E564)=SIGN(_xlfn.XLOOKUP($C564,tPartidos[MatchID],tPartidos[GL_Real],0)-_xlfn.XLOOKUP($C564,tPartidos[MatchID],tPartidos[GV_Real],0)),CONFIG!$C$6,0))))</f>
        <v/>
      </c>
    </row>
    <row r="565" spans="6:6">
      <c r="F565" t="str">
        <f>IF($C565="","",IF(NOT(_xlfn.XLOOKUP($C565,tPartidos[MatchID],tPartidos[Jugado],"No")="Sí"),0,IF(AND($D565=_xlfn.XLOOKUP($C565,tPartidos[MatchID],tPartidos[GL_Real],""),$E565=_xlfn.XLOOKUP($C565,tPartidos[MatchID],tPartidos[GV_Real],"")),CONFIG!$C$5,IF(SIGN($D565-$E565)=SIGN(_xlfn.XLOOKUP($C565,tPartidos[MatchID],tPartidos[GL_Real],0)-_xlfn.XLOOKUP($C565,tPartidos[MatchID],tPartidos[GV_Real],0)),CONFIG!$C$6,0))))</f>
        <v/>
      </c>
    </row>
    <row r="566" spans="6:6">
      <c r="F566" t="str">
        <f>IF($C566="","",IF(NOT(_xlfn.XLOOKUP($C566,tPartidos[MatchID],tPartidos[Jugado],"No")="Sí"),0,IF(AND($D566=_xlfn.XLOOKUP($C566,tPartidos[MatchID],tPartidos[GL_Real],""),$E566=_xlfn.XLOOKUP($C566,tPartidos[MatchID],tPartidos[GV_Real],"")),CONFIG!$C$5,IF(SIGN($D566-$E566)=SIGN(_xlfn.XLOOKUP($C566,tPartidos[MatchID],tPartidos[GL_Real],0)-_xlfn.XLOOKUP($C566,tPartidos[MatchID],tPartidos[GV_Real],0)),CONFIG!$C$6,0))))</f>
        <v/>
      </c>
    </row>
    <row r="567" spans="6:6">
      <c r="F567" t="str">
        <f>IF($C567="","",IF(NOT(_xlfn.XLOOKUP($C567,tPartidos[MatchID],tPartidos[Jugado],"No")="Sí"),0,IF(AND($D567=_xlfn.XLOOKUP($C567,tPartidos[MatchID],tPartidos[GL_Real],""),$E567=_xlfn.XLOOKUP($C567,tPartidos[MatchID],tPartidos[GV_Real],"")),CONFIG!$C$5,IF(SIGN($D567-$E567)=SIGN(_xlfn.XLOOKUP($C567,tPartidos[MatchID],tPartidos[GL_Real],0)-_xlfn.XLOOKUP($C567,tPartidos[MatchID],tPartidos[GV_Real],0)),CONFIG!$C$6,0))))</f>
        <v/>
      </c>
    </row>
    <row r="568" spans="6:6">
      <c r="F568" t="str">
        <f>IF($C568="","",IF(NOT(_xlfn.XLOOKUP($C568,tPartidos[MatchID],tPartidos[Jugado],"No")="Sí"),0,IF(AND($D568=_xlfn.XLOOKUP($C568,tPartidos[MatchID],tPartidos[GL_Real],""),$E568=_xlfn.XLOOKUP($C568,tPartidos[MatchID],tPartidos[GV_Real],"")),CONFIG!$C$5,IF(SIGN($D568-$E568)=SIGN(_xlfn.XLOOKUP($C568,tPartidos[MatchID],tPartidos[GL_Real],0)-_xlfn.XLOOKUP($C568,tPartidos[MatchID],tPartidos[GV_Real],0)),CONFIG!$C$6,0))))</f>
        <v/>
      </c>
    </row>
    <row r="569" spans="6:6">
      <c r="F569" t="str">
        <f>IF($C569="","",IF(NOT(_xlfn.XLOOKUP($C569,tPartidos[MatchID],tPartidos[Jugado],"No")="Sí"),0,IF(AND($D569=_xlfn.XLOOKUP($C569,tPartidos[MatchID],tPartidos[GL_Real],""),$E569=_xlfn.XLOOKUP($C569,tPartidos[MatchID],tPartidos[GV_Real],"")),CONFIG!$C$5,IF(SIGN($D569-$E569)=SIGN(_xlfn.XLOOKUP($C569,tPartidos[MatchID],tPartidos[GL_Real],0)-_xlfn.XLOOKUP($C569,tPartidos[MatchID],tPartidos[GV_Real],0)),CONFIG!$C$6,0))))</f>
        <v/>
      </c>
    </row>
    <row r="570" spans="6:6">
      <c r="F570" t="str">
        <f>IF($C570="","",IF(NOT(_xlfn.XLOOKUP($C570,tPartidos[MatchID],tPartidos[Jugado],"No")="Sí"),0,IF(AND($D570=_xlfn.XLOOKUP($C570,tPartidos[MatchID],tPartidos[GL_Real],""),$E570=_xlfn.XLOOKUP($C570,tPartidos[MatchID],tPartidos[GV_Real],"")),CONFIG!$C$5,IF(SIGN($D570-$E570)=SIGN(_xlfn.XLOOKUP($C570,tPartidos[MatchID],tPartidos[GL_Real],0)-_xlfn.XLOOKUP($C570,tPartidos[MatchID],tPartidos[GV_Real],0)),CONFIG!$C$6,0))))</f>
        <v/>
      </c>
    </row>
    <row r="571" spans="6:6">
      <c r="F571" t="str">
        <f>IF($C571="","",IF(NOT(_xlfn.XLOOKUP($C571,tPartidos[MatchID],tPartidos[Jugado],"No")="Sí"),0,IF(AND($D571=_xlfn.XLOOKUP($C571,tPartidos[MatchID],tPartidos[GL_Real],""),$E571=_xlfn.XLOOKUP($C571,tPartidos[MatchID],tPartidos[GV_Real],"")),CONFIG!$C$5,IF(SIGN($D571-$E571)=SIGN(_xlfn.XLOOKUP($C571,tPartidos[MatchID],tPartidos[GL_Real],0)-_xlfn.XLOOKUP($C571,tPartidos[MatchID],tPartidos[GV_Real],0)),CONFIG!$C$6,0))))</f>
        <v/>
      </c>
    </row>
    <row r="572" spans="6:6">
      <c r="F572" t="str">
        <f>IF($C572="","",IF(NOT(_xlfn.XLOOKUP($C572,tPartidos[MatchID],tPartidos[Jugado],"No")="Sí"),0,IF(AND($D572=_xlfn.XLOOKUP($C572,tPartidos[MatchID],tPartidos[GL_Real],""),$E572=_xlfn.XLOOKUP($C572,tPartidos[MatchID],tPartidos[GV_Real],"")),CONFIG!$C$5,IF(SIGN($D572-$E572)=SIGN(_xlfn.XLOOKUP($C572,tPartidos[MatchID],tPartidos[GL_Real],0)-_xlfn.XLOOKUP($C572,tPartidos[MatchID],tPartidos[GV_Real],0)),CONFIG!$C$6,0))))</f>
        <v/>
      </c>
    </row>
    <row r="573" spans="6:6">
      <c r="F573" t="str">
        <f>IF($C573="","",IF(NOT(_xlfn.XLOOKUP($C573,tPartidos[MatchID],tPartidos[Jugado],"No")="Sí"),0,IF(AND($D573=_xlfn.XLOOKUP($C573,tPartidos[MatchID],tPartidos[GL_Real],""),$E573=_xlfn.XLOOKUP($C573,tPartidos[MatchID],tPartidos[GV_Real],"")),CONFIG!$C$5,IF(SIGN($D573-$E573)=SIGN(_xlfn.XLOOKUP($C573,tPartidos[MatchID],tPartidos[GL_Real],0)-_xlfn.XLOOKUP($C573,tPartidos[MatchID],tPartidos[GV_Real],0)),CONFIG!$C$6,0))))</f>
        <v/>
      </c>
    </row>
    <row r="574" spans="6:6">
      <c r="F574" t="str">
        <f>IF($C574="","",IF(NOT(_xlfn.XLOOKUP($C574,tPartidos[MatchID],tPartidos[Jugado],"No")="Sí"),0,IF(AND($D574=_xlfn.XLOOKUP($C574,tPartidos[MatchID],tPartidos[GL_Real],""),$E574=_xlfn.XLOOKUP($C574,tPartidos[MatchID],tPartidos[GV_Real],"")),CONFIG!$C$5,IF(SIGN($D574-$E574)=SIGN(_xlfn.XLOOKUP($C574,tPartidos[MatchID],tPartidos[GL_Real],0)-_xlfn.XLOOKUP($C574,tPartidos[MatchID],tPartidos[GV_Real],0)),CONFIG!$C$6,0))))</f>
        <v/>
      </c>
    </row>
    <row r="575" spans="6:6">
      <c r="F575" t="str">
        <f>IF($C575="","",IF(NOT(_xlfn.XLOOKUP($C575,tPartidos[MatchID],tPartidos[Jugado],"No")="Sí"),0,IF(AND($D575=_xlfn.XLOOKUP($C575,tPartidos[MatchID],tPartidos[GL_Real],""),$E575=_xlfn.XLOOKUP($C575,tPartidos[MatchID],tPartidos[GV_Real],"")),CONFIG!$C$5,IF(SIGN($D575-$E575)=SIGN(_xlfn.XLOOKUP($C575,tPartidos[MatchID],tPartidos[GL_Real],0)-_xlfn.XLOOKUP($C575,tPartidos[MatchID],tPartidos[GV_Real],0)),CONFIG!$C$6,0))))</f>
        <v/>
      </c>
    </row>
    <row r="576" spans="6:6">
      <c r="F576" t="str">
        <f>IF($C576="","",IF(NOT(_xlfn.XLOOKUP($C576,tPartidos[MatchID],tPartidos[Jugado],"No")="Sí"),0,IF(AND($D576=_xlfn.XLOOKUP($C576,tPartidos[MatchID],tPartidos[GL_Real],""),$E576=_xlfn.XLOOKUP($C576,tPartidos[MatchID],tPartidos[GV_Real],"")),CONFIG!$C$5,IF(SIGN($D576-$E576)=SIGN(_xlfn.XLOOKUP($C576,tPartidos[MatchID],tPartidos[GL_Real],0)-_xlfn.XLOOKUP($C576,tPartidos[MatchID],tPartidos[GV_Real],0)),CONFIG!$C$6,0))))</f>
        <v/>
      </c>
    </row>
    <row r="577" spans="6:6">
      <c r="F577" t="str">
        <f>IF($C577="","",IF(NOT(_xlfn.XLOOKUP($C577,tPartidos[MatchID],tPartidos[Jugado],"No")="Sí"),0,IF(AND($D577=_xlfn.XLOOKUP($C577,tPartidos[MatchID],tPartidos[GL_Real],""),$E577=_xlfn.XLOOKUP($C577,tPartidos[MatchID],tPartidos[GV_Real],"")),CONFIG!$C$5,IF(SIGN($D577-$E577)=SIGN(_xlfn.XLOOKUP($C577,tPartidos[MatchID],tPartidos[GL_Real],0)-_xlfn.XLOOKUP($C577,tPartidos[MatchID],tPartidos[GV_Real],0)),CONFIG!$C$6,0))))</f>
        <v/>
      </c>
    </row>
    <row r="578" spans="6:6">
      <c r="F578" t="str">
        <f>IF($C578="","",IF(NOT(_xlfn.XLOOKUP($C578,tPartidos[MatchID],tPartidos[Jugado],"No")="Sí"),0,IF(AND($D578=_xlfn.XLOOKUP($C578,tPartidos[MatchID],tPartidos[GL_Real],""),$E578=_xlfn.XLOOKUP($C578,tPartidos[MatchID],tPartidos[GV_Real],"")),CONFIG!$C$5,IF(SIGN($D578-$E578)=SIGN(_xlfn.XLOOKUP($C578,tPartidos[MatchID],tPartidos[GL_Real],0)-_xlfn.XLOOKUP($C578,tPartidos[MatchID],tPartidos[GV_Real],0)),CONFIG!$C$6,0))))</f>
        <v/>
      </c>
    </row>
    <row r="579" spans="6:6">
      <c r="F579" t="str">
        <f>IF($C579="","",IF(NOT(_xlfn.XLOOKUP($C579,tPartidos[MatchID],tPartidos[Jugado],"No")="Sí"),0,IF(AND($D579=_xlfn.XLOOKUP($C579,tPartidos[MatchID],tPartidos[GL_Real],""),$E579=_xlfn.XLOOKUP($C579,tPartidos[MatchID],tPartidos[GV_Real],"")),CONFIG!$C$5,IF(SIGN($D579-$E579)=SIGN(_xlfn.XLOOKUP($C579,tPartidos[MatchID],tPartidos[GL_Real],0)-_xlfn.XLOOKUP($C579,tPartidos[MatchID],tPartidos[GV_Real],0)),CONFIG!$C$6,0))))</f>
        <v/>
      </c>
    </row>
    <row r="580" spans="6:6">
      <c r="F580" t="str">
        <f>IF($C580="","",IF(NOT(_xlfn.XLOOKUP($C580,tPartidos[MatchID],tPartidos[Jugado],"No")="Sí"),0,IF(AND($D580=_xlfn.XLOOKUP($C580,tPartidos[MatchID],tPartidos[GL_Real],""),$E580=_xlfn.XLOOKUP($C580,tPartidos[MatchID],tPartidos[GV_Real],"")),CONFIG!$C$5,IF(SIGN($D580-$E580)=SIGN(_xlfn.XLOOKUP($C580,tPartidos[MatchID],tPartidos[GL_Real],0)-_xlfn.XLOOKUP($C580,tPartidos[MatchID],tPartidos[GV_Real],0)),CONFIG!$C$6,0))))</f>
        <v/>
      </c>
    </row>
    <row r="581" spans="6:6">
      <c r="F581" t="str">
        <f>IF($C581="","",IF(NOT(_xlfn.XLOOKUP($C581,tPartidos[MatchID],tPartidos[Jugado],"No")="Sí"),0,IF(AND($D581=_xlfn.XLOOKUP($C581,tPartidos[MatchID],tPartidos[GL_Real],""),$E581=_xlfn.XLOOKUP($C581,tPartidos[MatchID],tPartidos[GV_Real],"")),CONFIG!$C$5,IF(SIGN($D581-$E581)=SIGN(_xlfn.XLOOKUP($C581,tPartidos[MatchID],tPartidos[GL_Real],0)-_xlfn.XLOOKUP($C581,tPartidos[MatchID],tPartidos[GV_Real],0)),CONFIG!$C$6,0))))</f>
        <v/>
      </c>
    </row>
    <row r="582" spans="6:6">
      <c r="F582" t="str">
        <f>IF($C582="","",IF(NOT(_xlfn.XLOOKUP($C582,tPartidos[MatchID],tPartidos[Jugado],"No")="Sí"),0,IF(AND($D582=_xlfn.XLOOKUP($C582,tPartidos[MatchID],tPartidos[GL_Real],""),$E582=_xlfn.XLOOKUP($C582,tPartidos[MatchID],tPartidos[GV_Real],"")),CONFIG!$C$5,IF(SIGN($D582-$E582)=SIGN(_xlfn.XLOOKUP($C582,tPartidos[MatchID],tPartidos[GL_Real],0)-_xlfn.XLOOKUP($C582,tPartidos[MatchID],tPartidos[GV_Real],0)),CONFIG!$C$6,0))))</f>
        <v/>
      </c>
    </row>
    <row r="583" spans="6:6">
      <c r="F583" t="str">
        <f>IF($C583="","",IF(NOT(_xlfn.XLOOKUP($C583,tPartidos[MatchID],tPartidos[Jugado],"No")="Sí"),0,IF(AND($D583=_xlfn.XLOOKUP($C583,tPartidos[MatchID],tPartidos[GL_Real],""),$E583=_xlfn.XLOOKUP($C583,tPartidos[MatchID],tPartidos[GV_Real],"")),CONFIG!$C$5,IF(SIGN($D583-$E583)=SIGN(_xlfn.XLOOKUP($C583,tPartidos[MatchID],tPartidos[GL_Real],0)-_xlfn.XLOOKUP($C583,tPartidos[MatchID],tPartidos[GV_Real],0)),CONFIG!$C$6,0))))</f>
        <v/>
      </c>
    </row>
    <row r="584" spans="6:6">
      <c r="F584" t="str">
        <f>IF($C584="","",IF(NOT(_xlfn.XLOOKUP($C584,tPartidos[MatchID],tPartidos[Jugado],"No")="Sí"),0,IF(AND($D584=_xlfn.XLOOKUP($C584,tPartidos[MatchID],tPartidos[GL_Real],""),$E584=_xlfn.XLOOKUP($C584,tPartidos[MatchID],tPartidos[GV_Real],"")),CONFIG!$C$5,IF(SIGN($D584-$E584)=SIGN(_xlfn.XLOOKUP($C584,tPartidos[MatchID],tPartidos[GL_Real],0)-_xlfn.XLOOKUP($C584,tPartidos[MatchID],tPartidos[GV_Real],0)),CONFIG!$C$6,0))))</f>
        <v/>
      </c>
    </row>
    <row r="585" spans="6:6">
      <c r="F585" t="str">
        <f>IF($C585="","",IF(NOT(_xlfn.XLOOKUP($C585,tPartidos[MatchID],tPartidos[Jugado],"No")="Sí"),0,IF(AND($D585=_xlfn.XLOOKUP($C585,tPartidos[MatchID],tPartidos[GL_Real],""),$E585=_xlfn.XLOOKUP($C585,tPartidos[MatchID],tPartidos[GV_Real],"")),CONFIG!$C$5,IF(SIGN($D585-$E585)=SIGN(_xlfn.XLOOKUP($C585,tPartidos[MatchID],tPartidos[GL_Real],0)-_xlfn.XLOOKUP($C585,tPartidos[MatchID],tPartidos[GV_Real],0)),CONFIG!$C$6,0))))</f>
        <v/>
      </c>
    </row>
    <row r="586" spans="6:6">
      <c r="F586" t="str">
        <f>IF($C586="","",IF(NOT(_xlfn.XLOOKUP($C586,tPartidos[MatchID],tPartidos[Jugado],"No")="Sí"),0,IF(AND($D586=_xlfn.XLOOKUP($C586,tPartidos[MatchID],tPartidos[GL_Real],""),$E586=_xlfn.XLOOKUP($C586,tPartidos[MatchID],tPartidos[GV_Real],"")),CONFIG!$C$5,IF(SIGN($D586-$E586)=SIGN(_xlfn.XLOOKUP($C586,tPartidos[MatchID],tPartidos[GL_Real],0)-_xlfn.XLOOKUP($C586,tPartidos[MatchID],tPartidos[GV_Real],0)),CONFIG!$C$6,0))))</f>
        <v/>
      </c>
    </row>
    <row r="587" spans="6:6">
      <c r="F587" t="str">
        <f>IF($C587="","",IF(NOT(_xlfn.XLOOKUP($C587,tPartidos[MatchID],tPartidos[Jugado],"No")="Sí"),0,IF(AND($D587=_xlfn.XLOOKUP($C587,tPartidos[MatchID],tPartidos[GL_Real],""),$E587=_xlfn.XLOOKUP($C587,tPartidos[MatchID],tPartidos[GV_Real],"")),CONFIG!$C$5,IF(SIGN($D587-$E587)=SIGN(_xlfn.XLOOKUP($C587,tPartidos[MatchID],tPartidos[GL_Real],0)-_xlfn.XLOOKUP($C587,tPartidos[MatchID],tPartidos[GV_Real],0)),CONFIG!$C$6,0))))</f>
        <v/>
      </c>
    </row>
    <row r="588" spans="6:6">
      <c r="F588" t="str">
        <f>IF($C588="","",IF(NOT(_xlfn.XLOOKUP($C588,tPartidos[MatchID],tPartidos[Jugado],"No")="Sí"),0,IF(AND($D588=_xlfn.XLOOKUP($C588,tPartidos[MatchID],tPartidos[GL_Real],""),$E588=_xlfn.XLOOKUP($C588,tPartidos[MatchID],tPartidos[GV_Real],"")),CONFIG!$C$5,IF(SIGN($D588-$E588)=SIGN(_xlfn.XLOOKUP($C588,tPartidos[MatchID],tPartidos[GL_Real],0)-_xlfn.XLOOKUP($C588,tPartidos[MatchID],tPartidos[GV_Real],0)),CONFIG!$C$6,0))))</f>
        <v/>
      </c>
    </row>
    <row r="589" spans="6:6">
      <c r="F589" t="str">
        <f>IF($C589="","",IF(NOT(_xlfn.XLOOKUP($C589,tPartidos[MatchID],tPartidos[Jugado],"No")="Sí"),0,IF(AND($D589=_xlfn.XLOOKUP($C589,tPartidos[MatchID],tPartidos[GL_Real],""),$E589=_xlfn.XLOOKUP($C589,tPartidos[MatchID],tPartidos[GV_Real],"")),CONFIG!$C$5,IF(SIGN($D589-$E589)=SIGN(_xlfn.XLOOKUP($C589,tPartidos[MatchID],tPartidos[GL_Real],0)-_xlfn.XLOOKUP($C589,tPartidos[MatchID],tPartidos[GV_Real],0)),CONFIG!$C$6,0))))</f>
        <v/>
      </c>
    </row>
    <row r="590" spans="6:6">
      <c r="F590" t="str">
        <f>IF($C590="","",IF(NOT(_xlfn.XLOOKUP($C590,tPartidos[MatchID],tPartidos[Jugado],"No")="Sí"),0,IF(AND($D590=_xlfn.XLOOKUP($C590,tPartidos[MatchID],tPartidos[GL_Real],""),$E590=_xlfn.XLOOKUP($C590,tPartidos[MatchID],tPartidos[GV_Real],"")),CONFIG!$C$5,IF(SIGN($D590-$E590)=SIGN(_xlfn.XLOOKUP($C590,tPartidos[MatchID],tPartidos[GL_Real],0)-_xlfn.XLOOKUP($C590,tPartidos[MatchID],tPartidos[GV_Real],0)),CONFIG!$C$6,0))))</f>
        <v/>
      </c>
    </row>
    <row r="591" spans="6:6">
      <c r="F591" t="str">
        <f>IF($C591="","",IF(NOT(_xlfn.XLOOKUP($C591,tPartidos[MatchID],tPartidos[Jugado],"No")="Sí"),0,IF(AND($D591=_xlfn.XLOOKUP($C591,tPartidos[MatchID],tPartidos[GL_Real],""),$E591=_xlfn.XLOOKUP($C591,tPartidos[MatchID],tPartidos[GV_Real],"")),CONFIG!$C$5,IF(SIGN($D591-$E591)=SIGN(_xlfn.XLOOKUP($C591,tPartidos[MatchID],tPartidos[GL_Real],0)-_xlfn.XLOOKUP($C591,tPartidos[MatchID],tPartidos[GV_Real],0)),CONFIG!$C$6,0))))</f>
        <v/>
      </c>
    </row>
    <row r="592" spans="6:6">
      <c r="F592" t="str">
        <f>IF($C592="","",IF(NOT(_xlfn.XLOOKUP($C592,tPartidos[MatchID],tPartidos[Jugado],"No")="Sí"),0,IF(AND($D592=_xlfn.XLOOKUP($C592,tPartidos[MatchID],tPartidos[GL_Real],""),$E592=_xlfn.XLOOKUP($C592,tPartidos[MatchID],tPartidos[GV_Real],"")),CONFIG!$C$5,IF(SIGN($D592-$E592)=SIGN(_xlfn.XLOOKUP($C592,tPartidos[MatchID],tPartidos[GL_Real],0)-_xlfn.XLOOKUP($C592,tPartidos[MatchID],tPartidos[GV_Real],0)),CONFIG!$C$6,0))))</f>
        <v/>
      </c>
    </row>
    <row r="593" spans="6:6">
      <c r="F593" t="str">
        <f>IF($C593="","",IF(NOT(_xlfn.XLOOKUP($C593,tPartidos[MatchID],tPartidos[Jugado],"No")="Sí"),0,IF(AND($D593=_xlfn.XLOOKUP($C593,tPartidos[MatchID],tPartidos[GL_Real],""),$E593=_xlfn.XLOOKUP($C593,tPartidos[MatchID],tPartidos[GV_Real],"")),CONFIG!$C$5,IF(SIGN($D593-$E593)=SIGN(_xlfn.XLOOKUP($C593,tPartidos[MatchID],tPartidos[GL_Real],0)-_xlfn.XLOOKUP($C593,tPartidos[MatchID],tPartidos[GV_Real],0)),CONFIG!$C$6,0))))</f>
        <v/>
      </c>
    </row>
    <row r="594" spans="6:6">
      <c r="F594" t="str">
        <f>IF($C594="","",IF(NOT(_xlfn.XLOOKUP($C594,tPartidos[MatchID],tPartidos[Jugado],"No")="Sí"),0,IF(AND($D594=_xlfn.XLOOKUP($C594,tPartidos[MatchID],tPartidos[GL_Real],""),$E594=_xlfn.XLOOKUP($C594,tPartidos[MatchID],tPartidos[GV_Real],"")),CONFIG!$C$5,IF(SIGN($D594-$E594)=SIGN(_xlfn.XLOOKUP($C594,tPartidos[MatchID],tPartidos[GL_Real],0)-_xlfn.XLOOKUP($C594,tPartidos[MatchID],tPartidos[GV_Real],0)),CONFIG!$C$6,0))))</f>
        <v/>
      </c>
    </row>
    <row r="595" spans="6:6">
      <c r="F595" t="str">
        <f>IF($C595="","",IF(NOT(_xlfn.XLOOKUP($C595,tPartidos[MatchID],tPartidos[Jugado],"No")="Sí"),0,IF(AND($D595=_xlfn.XLOOKUP($C595,tPartidos[MatchID],tPartidos[GL_Real],""),$E595=_xlfn.XLOOKUP($C595,tPartidos[MatchID],tPartidos[GV_Real],"")),CONFIG!$C$5,IF(SIGN($D595-$E595)=SIGN(_xlfn.XLOOKUP($C595,tPartidos[MatchID],tPartidos[GL_Real],0)-_xlfn.XLOOKUP($C595,tPartidos[MatchID],tPartidos[GV_Real],0)),CONFIG!$C$6,0))))</f>
        <v/>
      </c>
    </row>
    <row r="596" spans="6:6">
      <c r="F596" t="str">
        <f>IF($C596="","",IF(NOT(_xlfn.XLOOKUP($C596,tPartidos[MatchID],tPartidos[Jugado],"No")="Sí"),0,IF(AND($D596=_xlfn.XLOOKUP($C596,tPartidos[MatchID],tPartidos[GL_Real],""),$E596=_xlfn.XLOOKUP($C596,tPartidos[MatchID],tPartidos[GV_Real],"")),CONFIG!$C$5,IF(SIGN($D596-$E596)=SIGN(_xlfn.XLOOKUP($C596,tPartidos[MatchID],tPartidos[GL_Real],0)-_xlfn.XLOOKUP($C596,tPartidos[MatchID],tPartidos[GV_Real],0)),CONFIG!$C$6,0))))</f>
        <v/>
      </c>
    </row>
    <row r="597" spans="6:6">
      <c r="F597" t="str">
        <f>IF($C597="","",IF(NOT(_xlfn.XLOOKUP($C597,tPartidos[MatchID],tPartidos[Jugado],"No")="Sí"),0,IF(AND($D597=_xlfn.XLOOKUP($C597,tPartidos[MatchID],tPartidos[GL_Real],""),$E597=_xlfn.XLOOKUP($C597,tPartidos[MatchID],tPartidos[GV_Real],"")),CONFIG!$C$5,IF(SIGN($D597-$E597)=SIGN(_xlfn.XLOOKUP($C597,tPartidos[MatchID],tPartidos[GL_Real],0)-_xlfn.XLOOKUP($C597,tPartidos[MatchID],tPartidos[GV_Real],0)),CONFIG!$C$6,0))))</f>
        <v/>
      </c>
    </row>
    <row r="598" spans="6:6">
      <c r="F598" t="str">
        <f>IF($C598="","",IF(NOT(_xlfn.XLOOKUP($C598,tPartidos[MatchID],tPartidos[Jugado],"No")="Sí"),0,IF(AND($D598=_xlfn.XLOOKUP($C598,tPartidos[MatchID],tPartidos[GL_Real],""),$E598=_xlfn.XLOOKUP($C598,tPartidos[MatchID],tPartidos[GV_Real],"")),CONFIG!$C$5,IF(SIGN($D598-$E598)=SIGN(_xlfn.XLOOKUP($C598,tPartidos[MatchID],tPartidos[GL_Real],0)-_xlfn.XLOOKUP($C598,tPartidos[MatchID],tPartidos[GV_Real],0)),CONFIG!$C$6,0))))</f>
        <v/>
      </c>
    </row>
    <row r="599" spans="6:6">
      <c r="F599" t="str">
        <f>IF($C599="","",IF(NOT(_xlfn.XLOOKUP($C599,tPartidos[MatchID],tPartidos[Jugado],"No")="Sí"),0,IF(AND($D599=_xlfn.XLOOKUP($C599,tPartidos[MatchID],tPartidos[GL_Real],""),$E599=_xlfn.XLOOKUP($C599,tPartidos[MatchID],tPartidos[GV_Real],"")),CONFIG!$C$5,IF(SIGN($D599-$E599)=SIGN(_xlfn.XLOOKUP($C599,tPartidos[MatchID],tPartidos[GL_Real],0)-_xlfn.XLOOKUP($C599,tPartidos[MatchID],tPartidos[GV_Real],0)),CONFIG!$C$6,0))))</f>
        <v/>
      </c>
    </row>
    <row r="600" spans="6:6">
      <c r="F600" t="str">
        <f>IF($C600="","",IF(NOT(_xlfn.XLOOKUP($C600,tPartidos[MatchID],tPartidos[Jugado],"No")="Sí"),0,IF(AND($D600=_xlfn.XLOOKUP($C600,tPartidos[MatchID],tPartidos[GL_Real],""),$E600=_xlfn.XLOOKUP($C600,tPartidos[MatchID],tPartidos[GV_Real],"")),CONFIG!$C$5,IF(SIGN($D600-$E600)=SIGN(_xlfn.XLOOKUP($C600,tPartidos[MatchID],tPartidos[GL_Real],0)-_xlfn.XLOOKUP($C600,tPartidos[MatchID],tPartidos[GV_Real],0)),CONFIG!$C$6,0))))</f>
        <v/>
      </c>
    </row>
    <row r="601" spans="6:6">
      <c r="F601" t="str">
        <f>IF($C601="","",IF(NOT(_xlfn.XLOOKUP($C601,tPartidos[MatchID],tPartidos[Jugado],"No")="Sí"),0,IF(AND($D601=_xlfn.XLOOKUP($C601,tPartidos[MatchID],tPartidos[GL_Real],""),$E601=_xlfn.XLOOKUP($C601,tPartidos[MatchID],tPartidos[GV_Real],"")),CONFIG!$C$5,IF(SIGN($D601-$E601)=SIGN(_xlfn.XLOOKUP($C601,tPartidos[MatchID],tPartidos[GL_Real],0)-_xlfn.XLOOKUP($C601,tPartidos[MatchID],tPartidos[GV_Real],0)),CONFIG!$C$6,0))))</f>
        <v/>
      </c>
    </row>
    <row r="602" spans="6:6">
      <c r="F602" t="str">
        <f>IF($C602="","",IF(NOT(_xlfn.XLOOKUP($C602,tPartidos[MatchID],tPartidos[Jugado],"No")="Sí"),0,IF(AND($D602=_xlfn.XLOOKUP($C602,tPartidos[MatchID],tPartidos[GL_Real],""),$E602=_xlfn.XLOOKUP($C602,tPartidos[MatchID],tPartidos[GV_Real],"")),CONFIG!$C$5,IF(SIGN($D602-$E602)=SIGN(_xlfn.XLOOKUP($C602,tPartidos[MatchID],tPartidos[GL_Real],0)-_xlfn.XLOOKUP($C602,tPartidos[MatchID],tPartidos[GV_Real],0)),CONFIG!$C$6,0))))</f>
        <v/>
      </c>
    </row>
    <row r="603" spans="6:6">
      <c r="F603" t="str">
        <f>IF($C603="","",IF(NOT(_xlfn.XLOOKUP($C603,tPartidos[MatchID],tPartidos[Jugado],"No")="Sí"),0,IF(AND($D603=_xlfn.XLOOKUP($C603,tPartidos[MatchID],tPartidos[GL_Real],""),$E603=_xlfn.XLOOKUP($C603,tPartidos[MatchID],tPartidos[GV_Real],"")),CONFIG!$C$5,IF(SIGN($D603-$E603)=SIGN(_xlfn.XLOOKUP($C603,tPartidos[MatchID],tPartidos[GL_Real],0)-_xlfn.XLOOKUP($C603,tPartidos[MatchID],tPartidos[GV_Real],0)),CONFIG!$C$6,0))))</f>
        <v/>
      </c>
    </row>
    <row r="604" spans="6:6">
      <c r="F604" t="str">
        <f>IF($C604="","",IF(NOT(_xlfn.XLOOKUP($C604,tPartidos[MatchID],tPartidos[Jugado],"No")="Sí"),0,IF(AND($D604=_xlfn.XLOOKUP($C604,tPartidos[MatchID],tPartidos[GL_Real],""),$E604=_xlfn.XLOOKUP($C604,tPartidos[MatchID],tPartidos[GV_Real],"")),CONFIG!$C$5,IF(SIGN($D604-$E604)=SIGN(_xlfn.XLOOKUP($C604,tPartidos[MatchID],tPartidos[GL_Real],0)-_xlfn.XLOOKUP($C604,tPartidos[MatchID],tPartidos[GV_Real],0)),CONFIG!$C$6,0))))</f>
        <v/>
      </c>
    </row>
    <row r="605" spans="6:6">
      <c r="F605" t="str">
        <f>IF($C605="","",IF(NOT(_xlfn.XLOOKUP($C605,tPartidos[MatchID],tPartidos[Jugado],"No")="Sí"),0,IF(AND($D605=_xlfn.XLOOKUP($C605,tPartidos[MatchID],tPartidos[GL_Real],""),$E605=_xlfn.XLOOKUP($C605,tPartidos[MatchID],tPartidos[GV_Real],"")),CONFIG!$C$5,IF(SIGN($D605-$E605)=SIGN(_xlfn.XLOOKUP($C605,tPartidos[MatchID],tPartidos[GL_Real],0)-_xlfn.XLOOKUP($C605,tPartidos[MatchID],tPartidos[GV_Real],0)),CONFIG!$C$6,0))))</f>
        <v/>
      </c>
    </row>
    <row r="606" spans="6:6">
      <c r="F606" t="str">
        <f>IF($C606="","",IF(NOT(_xlfn.XLOOKUP($C606,tPartidos[MatchID],tPartidos[Jugado],"No")="Sí"),0,IF(AND($D606=_xlfn.XLOOKUP($C606,tPartidos[MatchID],tPartidos[GL_Real],""),$E606=_xlfn.XLOOKUP($C606,tPartidos[MatchID],tPartidos[GV_Real],"")),CONFIG!$C$5,IF(SIGN($D606-$E606)=SIGN(_xlfn.XLOOKUP($C606,tPartidos[MatchID],tPartidos[GL_Real],0)-_xlfn.XLOOKUP($C606,tPartidos[MatchID],tPartidos[GV_Real],0)),CONFIG!$C$6,0))))</f>
        <v/>
      </c>
    </row>
    <row r="607" spans="6:6">
      <c r="F607" t="str">
        <f>IF($C607="","",IF(NOT(_xlfn.XLOOKUP($C607,tPartidos[MatchID],tPartidos[Jugado],"No")="Sí"),0,IF(AND($D607=_xlfn.XLOOKUP($C607,tPartidos[MatchID],tPartidos[GL_Real],""),$E607=_xlfn.XLOOKUP($C607,tPartidos[MatchID],tPartidos[GV_Real],"")),CONFIG!$C$5,IF(SIGN($D607-$E607)=SIGN(_xlfn.XLOOKUP($C607,tPartidos[MatchID],tPartidos[GL_Real],0)-_xlfn.XLOOKUP($C607,tPartidos[MatchID],tPartidos[GV_Real],0)),CONFIG!$C$6,0))))</f>
        <v/>
      </c>
    </row>
    <row r="608" spans="6:6">
      <c r="F608" t="str">
        <f>IF($C608="","",IF(NOT(_xlfn.XLOOKUP($C608,tPartidos[MatchID],tPartidos[Jugado],"No")="Sí"),0,IF(AND($D608=_xlfn.XLOOKUP($C608,tPartidos[MatchID],tPartidos[GL_Real],""),$E608=_xlfn.XLOOKUP($C608,tPartidos[MatchID],tPartidos[GV_Real],"")),CONFIG!$C$5,IF(SIGN($D608-$E608)=SIGN(_xlfn.XLOOKUP($C608,tPartidos[MatchID],tPartidos[GL_Real],0)-_xlfn.XLOOKUP($C608,tPartidos[MatchID],tPartidos[GV_Real],0)),CONFIG!$C$6,0))))</f>
        <v/>
      </c>
    </row>
    <row r="609" spans="6:6">
      <c r="F609" t="str">
        <f>IF($C609="","",IF(NOT(_xlfn.XLOOKUP($C609,tPartidos[MatchID],tPartidos[Jugado],"No")="Sí"),0,IF(AND($D609=_xlfn.XLOOKUP($C609,tPartidos[MatchID],tPartidos[GL_Real],""),$E609=_xlfn.XLOOKUP($C609,tPartidos[MatchID],tPartidos[GV_Real],"")),CONFIG!$C$5,IF(SIGN($D609-$E609)=SIGN(_xlfn.XLOOKUP($C609,tPartidos[MatchID],tPartidos[GL_Real],0)-_xlfn.XLOOKUP($C609,tPartidos[MatchID],tPartidos[GV_Real],0)),CONFIG!$C$6,0))))</f>
        <v/>
      </c>
    </row>
  </sheetData>
  <dataValidations count="1">
    <dataValidation type="whole" allowBlank="1" sqref="C10:C609" xr:uid="{00000000-0002-0000-0300-000000000000}">
      <formula1>1</formula1>
      <formula2>72</formula2>
    </dataValidation>
  </dataValidation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57"/>
  <sheetViews>
    <sheetView showGridLines="0" workbookViewId="0">
      <pane ySplit="7" topLeftCell="A8" activePane="bottomLeft" state="frozen"/>
      <selection pane="bottomLeft" activeCell="H16" sqref="H16"/>
    </sheetView>
  </sheetViews>
  <sheetFormatPr defaultColWidth="8.85546875" defaultRowHeight="14.45"/>
  <cols>
    <col min="2" max="2" width="30" customWidth="1"/>
    <col min="3" max="3" width="12" customWidth="1"/>
  </cols>
  <sheetData>
    <row r="1" spans="2:3" ht="18" customHeight="1"/>
    <row r="2" spans="2:3" ht="18" customHeight="1">
      <c r="B2" s="2"/>
    </row>
    <row r="3" spans="2:3" ht="18" customHeight="1">
      <c r="B3" s="2"/>
    </row>
    <row r="4" spans="2:3" ht="18" customHeight="1">
      <c r="B4" s="2"/>
    </row>
    <row r="5" spans="2:3" ht="18" customHeight="1">
      <c r="B5" s="2" t="s">
        <v>132</v>
      </c>
    </row>
    <row r="7" spans="2:3">
      <c r="B7" s="28" t="s">
        <v>128</v>
      </c>
      <c r="C7" s="28" t="s">
        <v>131</v>
      </c>
    </row>
    <row r="8" spans="2:3">
      <c r="B8" t="str">
        <f>IF(CONFIG!B11="","",CONFIG!B11)</f>
        <v>Jugador 1</v>
      </c>
      <c r="C8">
        <f>IF(B8="","",SUMIFS(tPicks[Puntos],tPicks[Participante],B8))</f>
        <v>0</v>
      </c>
    </row>
    <row r="9" spans="2:3">
      <c r="B9" t="str">
        <f>IF(CONFIG!B12="","",CONFIG!B12)</f>
        <v>Jugador 2</v>
      </c>
      <c r="C9">
        <f>IF(B9="","",SUMIFS(tPicks[Puntos],tPicks[Participante],B9))</f>
        <v>0</v>
      </c>
    </row>
    <row r="10" spans="2:3">
      <c r="B10" t="str">
        <f>IF(CONFIG!B13="","",CONFIG!B13)</f>
        <v>Jugador 3</v>
      </c>
      <c r="C10">
        <f>IF(B10="","",SUMIFS(tPicks[Puntos],tPicks[Participante],B10))</f>
        <v>0</v>
      </c>
    </row>
    <row r="11" spans="2:3">
      <c r="B11" t="str">
        <f>IF(CONFIG!B14="","",CONFIG!B14)</f>
        <v>Jugador 4</v>
      </c>
      <c r="C11">
        <f>IF(B11="","",SUMIFS(tPicks[Puntos],tPicks[Participante],B11))</f>
        <v>0</v>
      </c>
    </row>
    <row r="12" spans="2:3">
      <c r="B12" t="str">
        <f>IF(CONFIG!B15="","",CONFIG!B15)</f>
        <v>Jugador 5</v>
      </c>
      <c r="C12">
        <f>IF(B12="","",SUMIFS(tPicks[Puntos],tPicks[Participante],B12))</f>
        <v>0</v>
      </c>
    </row>
    <row r="13" spans="2:3">
      <c r="B13" t="str">
        <f>IF(CONFIG!B16="","",CONFIG!B16)</f>
        <v>Jugador 6</v>
      </c>
      <c r="C13">
        <f>IF(B13="","",SUMIFS(tPicks[Puntos],tPicks[Participante],B13))</f>
        <v>0</v>
      </c>
    </row>
    <row r="14" spans="2:3">
      <c r="B14" t="str">
        <f>IF(CONFIG!B17="","",CONFIG!B17)</f>
        <v>Jugador 7</v>
      </c>
      <c r="C14">
        <f>IF(B14="","",SUMIFS(tPicks[Puntos],tPicks[Participante],B14))</f>
        <v>0</v>
      </c>
    </row>
    <row r="15" spans="2:3">
      <c r="B15" t="str">
        <f>IF(CONFIG!B18="","",CONFIG!B18)</f>
        <v>Jugador 8</v>
      </c>
      <c r="C15">
        <f>IF(B15="","",SUMIFS(tPicks[Puntos],tPicks[Participante],B15))</f>
        <v>0</v>
      </c>
    </row>
    <row r="16" spans="2:3">
      <c r="B16" t="str">
        <f>IF(CONFIG!B19="","",CONFIG!B19)</f>
        <v>Jugador 9</v>
      </c>
      <c r="C16">
        <f>IF(B16="","",SUMIFS(tPicks[Puntos],tPicks[Participante],B16))</f>
        <v>0</v>
      </c>
    </row>
    <row r="17" spans="2:3">
      <c r="B17" t="str">
        <f>IF(CONFIG!B20="","",CONFIG!B20)</f>
        <v>Jugador 10</v>
      </c>
      <c r="C17">
        <f>IF(B17="","",SUMIFS(tPicks[Puntos],tPicks[Participante],B17))</f>
        <v>0</v>
      </c>
    </row>
    <row r="18" spans="2:3">
      <c r="B18" t="str">
        <f>IF(CONFIG!B21="","",CONFIG!B21)</f>
        <v>Jugador 11</v>
      </c>
      <c r="C18">
        <f>IF(B18="","",SUMIFS(tPicks[Puntos],tPicks[Participante],B18))</f>
        <v>0</v>
      </c>
    </row>
    <row r="19" spans="2:3">
      <c r="B19" t="str">
        <f>IF(CONFIG!B22="","",CONFIG!B22)</f>
        <v>Jugador 12</v>
      </c>
      <c r="C19">
        <f>IF(B19="","",SUMIFS(tPicks[Puntos],tPicks[Participante],B19))</f>
        <v>0</v>
      </c>
    </row>
    <row r="20" spans="2:3">
      <c r="B20" t="str">
        <f>IF(CONFIG!B23="","",CONFIG!B23)</f>
        <v>Jugador 13</v>
      </c>
      <c r="C20">
        <f>IF(B20="","",SUMIFS(tPicks[Puntos],tPicks[Participante],B20))</f>
        <v>0</v>
      </c>
    </row>
    <row r="21" spans="2:3">
      <c r="B21" t="str">
        <f>IF(CONFIG!B24="","",CONFIG!B24)</f>
        <v>Jugador 14</v>
      </c>
      <c r="C21">
        <f>IF(B21="","",SUMIFS(tPicks[Puntos],tPicks[Participante],B21))</f>
        <v>0</v>
      </c>
    </row>
    <row r="22" spans="2:3">
      <c r="B22" t="str">
        <f>IF(CONFIG!B25="","",CONFIG!B25)</f>
        <v>Jugador 15</v>
      </c>
      <c r="C22">
        <f>IF(B22="","",SUMIFS(tPicks[Puntos],tPicks[Participante],B22))</f>
        <v>0</v>
      </c>
    </row>
    <row r="23" spans="2:3">
      <c r="B23" t="str">
        <f>IF(CONFIG!B26="","",CONFIG!B26)</f>
        <v>Jugador 16</v>
      </c>
      <c r="C23">
        <f>IF(B23="","",SUMIFS(tPicks[Puntos],tPicks[Participante],B23))</f>
        <v>0</v>
      </c>
    </row>
    <row r="24" spans="2:3">
      <c r="B24" t="str">
        <f>IF(CONFIG!B27="","",CONFIG!B27)</f>
        <v>Jugador 17</v>
      </c>
      <c r="C24">
        <f>IF(B24="","",SUMIFS(tPicks[Puntos],tPicks[Participante],B24))</f>
        <v>0</v>
      </c>
    </row>
    <row r="25" spans="2:3">
      <c r="B25" t="str">
        <f>IF(CONFIG!B28="","",CONFIG!B28)</f>
        <v>Jugador 18</v>
      </c>
      <c r="C25">
        <f>IF(B25="","",SUMIFS(tPicks[Puntos],tPicks[Participante],B25))</f>
        <v>0</v>
      </c>
    </row>
    <row r="26" spans="2:3">
      <c r="B26" t="str">
        <f>IF(CONFIG!B29="","",CONFIG!B29)</f>
        <v>Jugador 19</v>
      </c>
      <c r="C26">
        <f>IF(B26="","",SUMIFS(tPicks[Puntos],tPicks[Participante],B26))</f>
        <v>0</v>
      </c>
    </row>
    <row r="27" spans="2:3">
      <c r="B27" t="str">
        <f>IF(CONFIG!B30="","",CONFIG!B30)</f>
        <v>Jugador 20</v>
      </c>
      <c r="C27">
        <f>IF(B27="","",SUMIFS(tPicks[Puntos],tPicks[Participante],B27))</f>
        <v>0</v>
      </c>
    </row>
    <row r="28" spans="2:3">
      <c r="B28" t="str">
        <f>IF(CONFIG!B31="","",CONFIG!B31)</f>
        <v>Jugador 21</v>
      </c>
      <c r="C28">
        <f>IF(B28="","",SUMIFS(tPicks[Puntos],tPicks[Participante],B28))</f>
        <v>0</v>
      </c>
    </row>
    <row r="29" spans="2:3">
      <c r="B29" t="str">
        <f>IF(CONFIG!B32="","",CONFIG!B32)</f>
        <v>Jugador 22</v>
      </c>
      <c r="C29">
        <f>IF(B29="","",SUMIFS(tPicks[Puntos],tPicks[Participante],B29))</f>
        <v>0</v>
      </c>
    </row>
    <row r="30" spans="2:3">
      <c r="B30" t="str">
        <f>IF(CONFIG!B33="","",CONFIG!B33)</f>
        <v>Jugador 23</v>
      </c>
      <c r="C30">
        <f>IF(B30="","",SUMIFS(tPicks[Puntos],tPicks[Participante],B30))</f>
        <v>0</v>
      </c>
    </row>
    <row r="31" spans="2:3">
      <c r="B31" t="str">
        <f>IF(CONFIG!B34="","",CONFIG!B34)</f>
        <v>Jugador 24</v>
      </c>
      <c r="C31">
        <f>IF(B31="","",SUMIFS(tPicks[Puntos],tPicks[Participante],B31))</f>
        <v>0</v>
      </c>
    </row>
    <row r="32" spans="2:3">
      <c r="B32" t="str">
        <f>IF(CONFIG!B35="","",CONFIG!B35)</f>
        <v>Jugador 25</v>
      </c>
      <c r="C32">
        <f>IF(B32="","",SUMIFS(tPicks[Puntos],tPicks[Participante],B32))</f>
        <v>0</v>
      </c>
    </row>
    <row r="33" spans="2:3">
      <c r="B33" t="str">
        <f>IF(CONFIG!B36="","",CONFIG!B36)</f>
        <v>Jugador 26</v>
      </c>
      <c r="C33">
        <f>IF(B33="","",SUMIFS(tPicks[Puntos],tPicks[Participante],B33))</f>
        <v>0</v>
      </c>
    </row>
    <row r="34" spans="2:3">
      <c r="B34" t="str">
        <f>IF(CONFIG!B37="","",CONFIG!B37)</f>
        <v>Jugador 27</v>
      </c>
      <c r="C34">
        <f>IF(B34="","",SUMIFS(tPicks[Puntos],tPicks[Participante],B34))</f>
        <v>0</v>
      </c>
    </row>
    <row r="35" spans="2:3">
      <c r="B35" t="str">
        <f>IF(CONFIG!B38="","",CONFIG!B38)</f>
        <v>Jugador 28</v>
      </c>
      <c r="C35">
        <f>IF(B35="","",SUMIFS(tPicks[Puntos],tPicks[Participante],B35))</f>
        <v>0</v>
      </c>
    </row>
    <row r="36" spans="2:3">
      <c r="B36" t="str">
        <f>IF(CONFIG!B39="","",CONFIG!B39)</f>
        <v>Jugador 29</v>
      </c>
      <c r="C36">
        <f>IF(B36="","",SUMIFS(tPicks[Puntos],tPicks[Participante],B36))</f>
        <v>0</v>
      </c>
    </row>
    <row r="37" spans="2:3">
      <c r="B37" t="str">
        <f>IF(CONFIG!B40="","",CONFIG!B40)</f>
        <v>Jugador 30</v>
      </c>
      <c r="C37">
        <f>IF(B37="","",SUMIFS(tPicks[Puntos],tPicks[Participante],B37))</f>
        <v>0</v>
      </c>
    </row>
    <row r="38" spans="2:3">
      <c r="B38" t="str">
        <f>IF(CONFIG!B41="","",CONFIG!B41)</f>
        <v/>
      </c>
      <c r="C38" t="str">
        <f>IF(B38="","",SUMIFS(tPicks[Puntos],tPicks[Participante],B38))</f>
        <v/>
      </c>
    </row>
    <row r="39" spans="2:3">
      <c r="B39" t="str">
        <f>IF(CONFIG!B42="","",CONFIG!B42)</f>
        <v/>
      </c>
      <c r="C39" t="str">
        <f>IF(B39="","",SUMIFS(tPicks[Puntos],tPicks[Participante],B39))</f>
        <v/>
      </c>
    </row>
    <row r="40" spans="2:3">
      <c r="B40" t="str">
        <f>IF(CONFIG!B43="","",CONFIG!B43)</f>
        <v/>
      </c>
      <c r="C40" t="str">
        <f>IF(B40="","",SUMIFS(tPicks[Puntos],tPicks[Participante],B40))</f>
        <v/>
      </c>
    </row>
    <row r="41" spans="2:3">
      <c r="B41" t="str">
        <f>IF(CONFIG!B44="","",CONFIG!B44)</f>
        <v/>
      </c>
      <c r="C41" t="str">
        <f>IF(B41="","",SUMIFS(tPicks[Puntos],tPicks[Participante],B41))</f>
        <v/>
      </c>
    </row>
    <row r="42" spans="2:3">
      <c r="B42" t="str">
        <f>IF(CONFIG!B45="","",CONFIG!B45)</f>
        <v/>
      </c>
      <c r="C42" t="str">
        <f>IF(B42="","",SUMIFS(tPicks[Puntos],tPicks[Participante],B42))</f>
        <v/>
      </c>
    </row>
    <row r="43" spans="2:3">
      <c r="B43" t="str">
        <f>IF(CONFIG!B46="","",CONFIG!B46)</f>
        <v/>
      </c>
      <c r="C43" t="str">
        <f>IF(B43="","",SUMIFS(tPicks[Puntos],tPicks[Participante],B43))</f>
        <v/>
      </c>
    </row>
    <row r="44" spans="2:3">
      <c r="B44" t="str">
        <f>IF(CONFIG!B47="","",CONFIG!B47)</f>
        <v/>
      </c>
      <c r="C44" t="str">
        <f>IF(B44="","",SUMIFS(tPicks[Puntos],tPicks[Participante],B44))</f>
        <v/>
      </c>
    </row>
    <row r="45" spans="2:3">
      <c r="B45" t="str">
        <f>IF(CONFIG!B48="","",CONFIG!B48)</f>
        <v/>
      </c>
      <c r="C45" t="str">
        <f>IF(B45="","",SUMIFS(tPicks[Puntos],tPicks[Participante],B45))</f>
        <v/>
      </c>
    </row>
    <row r="46" spans="2:3">
      <c r="B46" t="str">
        <f>IF(CONFIG!B49="","",CONFIG!B49)</f>
        <v/>
      </c>
      <c r="C46" t="str">
        <f>IF(B46="","",SUMIFS(tPicks[Puntos],tPicks[Participante],B46))</f>
        <v/>
      </c>
    </row>
    <row r="47" spans="2:3">
      <c r="B47" t="str">
        <f>IF(CONFIG!B50="","",CONFIG!B50)</f>
        <v/>
      </c>
      <c r="C47" t="str">
        <f>IF(B47="","",SUMIFS(tPicks[Puntos],tPicks[Participante],B47))</f>
        <v/>
      </c>
    </row>
    <row r="48" spans="2:3">
      <c r="B48" t="str">
        <f>IF(CONFIG!B51="","",CONFIG!B51)</f>
        <v/>
      </c>
      <c r="C48" t="str">
        <f>IF(B48="","",SUMIFS(tPicks[Puntos],tPicks[Participante],B48))</f>
        <v/>
      </c>
    </row>
    <row r="49" spans="2:3">
      <c r="B49" t="str">
        <f>IF(CONFIG!B52="","",CONFIG!B52)</f>
        <v/>
      </c>
      <c r="C49" t="str">
        <f>IF(B49="","",SUMIFS(tPicks[Puntos],tPicks[Participante],B49))</f>
        <v/>
      </c>
    </row>
    <row r="50" spans="2:3">
      <c r="B50" t="str">
        <f>IF(CONFIG!B53="","",CONFIG!B53)</f>
        <v/>
      </c>
      <c r="C50" t="str">
        <f>IF(B50="","",SUMIFS(tPicks[Puntos],tPicks[Participante],B50))</f>
        <v/>
      </c>
    </row>
    <row r="51" spans="2:3">
      <c r="B51" t="str">
        <f>IF(CONFIG!B54="","",CONFIG!B54)</f>
        <v/>
      </c>
      <c r="C51" t="str">
        <f>IF(B51="","",SUMIFS(tPicks[Puntos],tPicks[Participante],B51))</f>
        <v/>
      </c>
    </row>
    <row r="52" spans="2:3">
      <c r="B52" t="str">
        <f>IF(CONFIG!B55="","",CONFIG!B55)</f>
        <v/>
      </c>
      <c r="C52" t="str">
        <f>IF(B52="","",SUMIFS(tPicks[Puntos],tPicks[Participante],B52))</f>
        <v/>
      </c>
    </row>
    <row r="53" spans="2:3">
      <c r="B53" t="str">
        <f>IF(CONFIG!B56="","",CONFIG!B56)</f>
        <v/>
      </c>
      <c r="C53" t="str">
        <f>IF(B53="","",SUMIFS(tPicks[Puntos],tPicks[Participante],B53))</f>
        <v/>
      </c>
    </row>
    <row r="54" spans="2:3">
      <c r="B54" t="str">
        <f>IF(CONFIG!B57="","",CONFIG!B57)</f>
        <v/>
      </c>
      <c r="C54" t="str">
        <f>IF(B54="","",SUMIFS(tPicks[Puntos],tPicks[Participante],B54))</f>
        <v/>
      </c>
    </row>
    <row r="55" spans="2:3">
      <c r="B55" t="str">
        <f>IF(CONFIG!B58="","",CONFIG!B58)</f>
        <v/>
      </c>
      <c r="C55" t="str">
        <f>IF(B55="","",SUMIFS(tPicks[Puntos],tPicks[Participante],B55))</f>
        <v/>
      </c>
    </row>
    <row r="56" spans="2:3">
      <c r="B56" t="str">
        <f>IF(CONFIG!B59="","",CONFIG!B59)</f>
        <v/>
      </c>
      <c r="C56" t="str">
        <f>IF(B56="","",SUMIFS(tPicks[Puntos],tPicks[Participante],B56))</f>
        <v/>
      </c>
    </row>
    <row r="57" spans="2:3">
      <c r="B57" t="str">
        <f>IF(CONFIG!B60="","",CONFIG!B60)</f>
        <v/>
      </c>
      <c r="C57" t="str">
        <f>IF(B57="","",SUMIFS(tPicks[Puntos],tPicks[Participante],B57))</f>
        <v/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J96"/>
  <sheetViews>
    <sheetView showGridLines="0" zoomScaleNormal="100" workbookViewId="0">
      <pane ySplit="11" topLeftCell="A12" activePane="bottomLeft" state="frozen"/>
      <selection pane="bottomLeft" activeCell="O30" sqref="O30"/>
    </sheetView>
  </sheetViews>
  <sheetFormatPr defaultColWidth="8.85546875" defaultRowHeight="14.45"/>
  <cols>
    <col min="2" max="2" width="22" customWidth="1"/>
    <col min="3" max="6" width="5" customWidth="1"/>
    <col min="7" max="10" width="6" customWidth="1"/>
    <col min="11" max="11" width="10" customWidth="1"/>
    <col min="14" max="14" width="5" customWidth="1"/>
    <col min="15" max="15" width="11.7109375" bestFit="1" customWidth="1"/>
    <col min="16" max="16" width="22" customWidth="1"/>
    <col min="17" max="19" width="6" customWidth="1"/>
    <col min="22" max="22" width="18.7109375" hidden="1" customWidth="1"/>
    <col min="23" max="28" width="2" hidden="1" customWidth="1"/>
    <col min="29" max="29" width="2.7109375" hidden="1" customWidth="1"/>
    <col min="30" max="30" width="2" hidden="1" customWidth="1"/>
    <col min="32" max="36" width="13" hidden="1" customWidth="1"/>
  </cols>
  <sheetData>
    <row r="1" spans="2:36" ht="21" customHeight="1">
      <c r="B1" s="1" t="s">
        <v>133</v>
      </c>
      <c r="AF1" s="3" t="s">
        <v>43</v>
      </c>
      <c r="AG1" s="3" t="s">
        <v>134</v>
      </c>
      <c r="AH1" s="3" t="s">
        <v>135</v>
      </c>
      <c r="AI1" s="3" t="s">
        <v>136</v>
      </c>
      <c r="AJ1" s="3" t="s">
        <v>137</v>
      </c>
    </row>
    <row r="2" spans="2:36" ht="28.9" customHeight="1">
      <c r="B2" s="8" t="s">
        <v>138</v>
      </c>
      <c r="AF2" t="s">
        <v>50</v>
      </c>
      <c r="AG2" t="str">
        <f>$B18</f>
        <v>South Africa</v>
      </c>
      <c r="AH2">
        <f>$J18</f>
        <v>0</v>
      </c>
      <c r="AI2">
        <f>$I18</f>
        <v>0</v>
      </c>
      <c r="AJ2">
        <f>$G18</f>
        <v>0</v>
      </c>
    </row>
    <row r="3" spans="2:36">
      <c r="AF3" t="s">
        <v>58</v>
      </c>
      <c r="AG3" t="str">
        <f>$B25</f>
        <v>Qatar</v>
      </c>
      <c r="AH3">
        <f>$J25</f>
        <v>0</v>
      </c>
      <c r="AI3">
        <f>$I25</f>
        <v>0</v>
      </c>
      <c r="AJ3">
        <f>$G25</f>
        <v>0</v>
      </c>
    </row>
    <row r="4" spans="2:36">
      <c r="AF4" t="s">
        <v>72</v>
      </c>
      <c r="AG4" t="str">
        <f>$B32</f>
        <v>Morocco</v>
      </c>
      <c r="AH4">
        <f>$J32</f>
        <v>0</v>
      </c>
      <c r="AI4">
        <f>$I32</f>
        <v>0</v>
      </c>
      <c r="AJ4">
        <f>$G32</f>
        <v>0</v>
      </c>
    </row>
    <row r="5" spans="2:36">
      <c r="AF5" t="s">
        <v>62</v>
      </c>
      <c r="AG5" t="str">
        <f>$B39</f>
        <v>Türkiye</v>
      </c>
      <c r="AH5">
        <f>$J39</f>
        <v>0</v>
      </c>
      <c r="AI5">
        <f>$I39</f>
        <v>0</v>
      </c>
      <c r="AJ5">
        <f>$G39</f>
        <v>0</v>
      </c>
    </row>
    <row r="6" spans="2:36">
      <c r="AF6" t="s">
        <v>79</v>
      </c>
      <c r="AG6" t="str">
        <f>$B46</f>
        <v>Germany</v>
      </c>
      <c r="AH6">
        <f>$J46</f>
        <v>0</v>
      </c>
      <c r="AI6">
        <f>$I46</f>
        <v>0</v>
      </c>
      <c r="AJ6">
        <f>$G46</f>
        <v>0</v>
      </c>
    </row>
    <row r="7" spans="2:36">
      <c r="AF7" t="s">
        <v>83</v>
      </c>
      <c r="AG7" t="str">
        <f>$B53</f>
        <v>Sweden</v>
      </c>
      <c r="AH7">
        <f>$J53</f>
        <v>0</v>
      </c>
      <c r="AI7">
        <f>$I53</f>
        <v>0</v>
      </c>
      <c r="AJ7">
        <f>$G53</f>
        <v>0</v>
      </c>
    </row>
    <row r="8" spans="2:36">
      <c r="AF8" t="s">
        <v>97</v>
      </c>
      <c r="AG8" t="str">
        <f>$B60</f>
        <v>Iran</v>
      </c>
      <c r="AH8">
        <f>$J60</f>
        <v>0</v>
      </c>
      <c r="AI8">
        <f>$I60</f>
        <v>0</v>
      </c>
      <c r="AJ8">
        <f>$G60</f>
        <v>0</v>
      </c>
    </row>
    <row r="9" spans="2:36">
      <c r="AF9" t="s">
        <v>93</v>
      </c>
      <c r="AG9" t="str">
        <f>$B67</f>
        <v>Spain</v>
      </c>
      <c r="AH9">
        <f>$J67</f>
        <v>0</v>
      </c>
      <c r="AI9">
        <f>$I67</f>
        <v>0</v>
      </c>
      <c r="AJ9">
        <f>$G67</f>
        <v>0</v>
      </c>
    </row>
    <row r="10" spans="2:36">
      <c r="AF10" t="s">
        <v>106</v>
      </c>
      <c r="AG10" t="str">
        <f>$B74</f>
        <v>Norway</v>
      </c>
      <c r="AH10">
        <f>$J74</f>
        <v>0</v>
      </c>
      <c r="AI10">
        <f>$I74</f>
        <v>0</v>
      </c>
      <c r="AJ10">
        <f>$G74</f>
        <v>0</v>
      </c>
    </row>
    <row r="11" spans="2:36">
      <c r="AF11" t="s">
        <v>111</v>
      </c>
      <c r="AG11" t="str">
        <f>$B81</f>
        <v>Austria</v>
      </c>
      <c r="AH11">
        <f>$J81</f>
        <v>0</v>
      </c>
      <c r="AI11">
        <f>$I81</f>
        <v>0</v>
      </c>
      <c r="AJ11">
        <f>$G81</f>
        <v>0</v>
      </c>
    </row>
    <row r="14" spans="2:36" ht="15.6" customHeight="1">
      <c r="B14" s="10" t="s">
        <v>139</v>
      </c>
      <c r="N14" s="2" t="s">
        <v>140</v>
      </c>
      <c r="AF14" t="s">
        <v>117</v>
      </c>
      <c r="AG14" t="str">
        <f>$B88</f>
        <v>Portugal</v>
      </c>
      <c r="AH14">
        <f>$J88</f>
        <v>0</v>
      </c>
      <c r="AI14">
        <f>$I88</f>
        <v>0</v>
      </c>
      <c r="AJ14">
        <f>$G88</f>
        <v>0</v>
      </c>
    </row>
    <row r="15" spans="2:36">
      <c r="B15" s="28" t="s">
        <v>134</v>
      </c>
      <c r="C15" s="28" t="s">
        <v>141</v>
      </c>
      <c r="D15" s="28" t="s">
        <v>97</v>
      </c>
      <c r="E15" s="28" t="s">
        <v>79</v>
      </c>
      <c r="F15" s="28" t="s">
        <v>142</v>
      </c>
      <c r="G15" s="28" t="s">
        <v>137</v>
      </c>
      <c r="H15" s="28" t="s">
        <v>143</v>
      </c>
      <c r="I15" s="28" t="s">
        <v>136</v>
      </c>
      <c r="J15" s="28" t="s">
        <v>135</v>
      </c>
      <c r="K15" s="28" t="s">
        <v>144</v>
      </c>
      <c r="N15" s="28" t="s">
        <v>145</v>
      </c>
      <c r="O15" s="28" t="s">
        <v>43</v>
      </c>
      <c r="P15" s="28" t="s">
        <v>134</v>
      </c>
      <c r="Q15" s="28" t="s">
        <v>135</v>
      </c>
      <c r="R15" s="28" t="s">
        <v>136</v>
      </c>
      <c r="S15" s="28" t="s">
        <v>137</v>
      </c>
      <c r="AF15" t="s">
        <v>120</v>
      </c>
      <c r="AG15" t="str">
        <f>$B95</f>
        <v>Ghana</v>
      </c>
      <c r="AH15">
        <f>$J95</f>
        <v>0</v>
      </c>
      <c r="AI15">
        <f>$I95</f>
        <v>0</v>
      </c>
      <c r="AJ15">
        <f>$G95</f>
        <v>0</v>
      </c>
    </row>
    <row r="16" spans="2:36">
      <c r="B16" s="4" t="str">
        <f t="array" ref="B16:J19">_xlfn.SORTBY(V16:AD19,AD16:AD19,-1,AC16:AC19,-1,AA16:AA19,-1)</f>
        <v>Czechia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4" t="s">
        <v>146</v>
      </c>
      <c r="N16" s="9">
        <v>1</v>
      </c>
      <c r="O16" s="9" t="str">
        <f t="array" ref="O16:S23">_xlfn.TAKE(_xlfn.SORTBY(CHOOSE(_xlfn.SEQUENCE(1,5),$AF$2:$AF$15,$AG$2:$AG$15,$AH$2:$AH$15,$AI$2:$AI$15,$AJ$2:$AJ$15),$AH$2:$AH$15,-1,$AI$2:$AI$15,-1,$AJ$2:$AJ$15,-1),8)</f>
        <v>A</v>
      </c>
      <c r="P16" s="9" t="str">
        <v>South Africa</v>
      </c>
      <c r="Q16" s="9">
        <v>0</v>
      </c>
      <c r="R16" s="9">
        <v>0</v>
      </c>
      <c r="S16" s="9">
        <v>0</v>
      </c>
      <c r="V16" t="s">
        <v>56</v>
      </c>
      <c r="W16">
        <f>COUNTIFS(tPartidos[Jugado],"Sí",tPartidos[EquipoLocal],V16)+COUNTIFS(tPartidos[Jugado],"Sí",tPartidos[EquipoVisita],V16)</f>
        <v>0</v>
      </c>
      <c r="X16">
        <f>SUMPRODUCT((tPartidos[Jugado]="Sí")*(tPartidos[EquipoLocal]=V16)*(tPartidos[GL_Real]&gt;tPartidos[GV_Real]))+SUMPRODUCT((tPartidos[Jugado]="Sí")*(tPartidos[EquipoVisita]=V16)*(tPartidos[GV_Real]&gt;tPartidos[GL_Real]))</f>
        <v>0</v>
      </c>
      <c r="Y16">
        <f>SUMPRODUCT((tPartidos[Jugado]="Sí")*((tPartidos[EquipoLocal]=V16)+(tPartidos[EquipoVisita]=V16))*(tPartidos[GL_Real]=tPartidos[GV_Real]))</f>
        <v>0</v>
      </c>
      <c r="Z16">
        <f>W16-X16-Y16</f>
        <v>0</v>
      </c>
      <c r="AA16">
        <f>SUMIFS(tPartidos[GL_Real],tPartidos[Jugado],"Sí",tPartidos[EquipoLocal],V16)+SUMIFS(tPartidos[GV_Real],tPartidos[Jugado],"Sí",tPartidos[EquipoVisita],V16)</f>
        <v>0</v>
      </c>
      <c r="AB16">
        <f>SUMIFS(tPartidos[GV_Real],tPartidos[Jugado],"Sí",tPartidos[EquipoLocal],V16)+SUMIFS(tPartidos[GL_Real],tPartidos[Jugado],"Sí",tPartidos[EquipoVisita],V16)</f>
        <v>0</v>
      </c>
      <c r="AC16">
        <f>AA16-AB16</f>
        <v>0</v>
      </c>
      <c r="AD16">
        <f>X16*3+Y16</f>
        <v>0</v>
      </c>
    </row>
    <row r="17" spans="2:30">
      <c r="B17" s="4" t="str">
        <v>Mexico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4" t="s">
        <v>146</v>
      </c>
      <c r="N17" s="9">
        <v>2</v>
      </c>
      <c r="O17" s="9" t="str">
        <v>B</v>
      </c>
      <c r="P17" s="9" t="str">
        <v>Qatar</v>
      </c>
      <c r="Q17" s="9">
        <v>0</v>
      </c>
      <c r="R17" s="9">
        <v>0</v>
      </c>
      <c r="S17" s="9">
        <v>0</v>
      </c>
      <c r="V17" t="s">
        <v>51</v>
      </c>
      <c r="W17">
        <f>COUNTIFS(tPartidos[Jugado],"Sí",tPartidos[EquipoLocal],V17)+COUNTIFS(tPartidos[Jugado],"Sí",tPartidos[EquipoVisita],V17)</f>
        <v>0</v>
      </c>
      <c r="X17">
        <f>SUMPRODUCT((tPartidos[Jugado]="Sí")*(tPartidos[EquipoLocal]=V17)*(tPartidos[GL_Real]&gt;tPartidos[GV_Real]))+SUMPRODUCT((tPartidos[Jugado]="Sí")*(tPartidos[EquipoVisita]=V17)*(tPartidos[GV_Real]&gt;tPartidos[GL_Real]))</f>
        <v>0</v>
      </c>
      <c r="Y17">
        <f>SUMPRODUCT((tPartidos[Jugado]="Sí")*((tPartidos[EquipoLocal]=V17)+(tPartidos[EquipoVisita]=V17))*(tPartidos[GL_Real]=tPartidos[GV_Real]))</f>
        <v>0</v>
      </c>
      <c r="Z17">
        <f>W17-X17-Y17</f>
        <v>0</v>
      </c>
      <c r="AA17">
        <f>SUMIFS(tPartidos[GL_Real],tPartidos[Jugado],"Sí",tPartidos[EquipoLocal],V17)+SUMIFS(tPartidos[GV_Real],tPartidos[Jugado],"Sí",tPartidos[EquipoVisita],V17)</f>
        <v>0</v>
      </c>
      <c r="AB17">
        <f>SUMIFS(tPartidos[GV_Real],tPartidos[Jugado],"Sí",tPartidos[EquipoLocal],V17)+SUMIFS(tPartidos[GL_Real],tPartidos[Jugado],"Sí",tPartidos[EquipoVisita],V17)</f>
        <v>0</v>
      </c>
      <c r="AC17">
        <f>AA17-AB17</f>
        <v>0</v>
      </c>
      <c r="AD17">
        <f>X17*3+Y17</f>
        <v>0</v>
      </c>
    </row>
    <row r="18" spans="2:30">
      <c r="B18" s="4" t="str">
        <v>South Africa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4" t="str">
        <f>IF(ISNUMBER(MATCH($B18,$P$16:$P$23,0)),"3°","")</f>
        <v>3°</v>
      </c>
      <c r="N18" s="9">
        <v>3</v>
      </c>
      <c r="O18" s="9" t="str">
        <v>C</v>
      </c>
      <c r="P18" s="9" t="str">
        <v>Morocco</v>
      </c>
      <c r="Q18" s="9">
        <v>0</v>
      </c>
      <c r="R18" s="9">
        <v>0</v>
      </c>
      <c r="S18" s="9">
        <v>0</v>
      </c>
      <c r="V18" t="s">
        <v>52</v>
      </c>
      <c r="W18">
        <f>COUNTIFS(tPartidos[Jugado],"Sí",tPartidos[EquipoLocal],V18)+COUNTIFS(tPartidos[Jugado],"Sí",tPartidos[EquipoVisita],V18)</f>
        <v>0</v>
      </c>
      <c r="X18">
        <f>SUMPRODUCT((tPartidos[Jugado]="Sí")*(tPartidos[EquipoLocal]=V18)*(tPartidos[GL_Real]&gt;tPartidos[GV_Real]))+SUMPRODUCT((tPartidos[Jugado]="Sí")*(tPartidos[EquipoVisita]=V18)*(tPartidos[GV_Real]&gt;tPartidos[GL_Real]))</f>
        <v>0</v>
      </c>
      <c r="Y18">
        <f>SUMPRODUCT((tPartidos[Jugado]="Sí")*((tPartidos[EquipoLocal]=V18)+(tPartidos[EquipoVisita]=V18))*(tPartidos[GL_Real]=tPartidos[GV_Real]))</f>
        <v>0</v>
      </c>
      <c r="Z18">
        <f>W18-X18-Y18</f>
        <v>0</v>
      </c>
      <c r="AA18">
        <f>SUMIFS(tPartidos[GL_Real],tPartidos[Jugado],"Sí",tPartidos[EquipoLocal],V18)+SUMIFS(tPartidos[GV_Real],tPartidos[Jugado],"Sí",tPartidos[EquipoVisita],V18)</f>
        <v>0</v>
      </c>
      <c r="AB18">
        <f>SUMIFS(tPartidos[GV_Real],tPartidos[Jugado],"Sí",tPartidos[EquipoLocal],V18)+SUMIFS(tPartidos[GL_Real],tPartidos[Jugado],"Sí",tPartidos[EquipoVisita],V18)</f>
        <v>0</v>
      </c>
      <c r="AC18">
        <f>AA18-AB18</f>
        <v>0</v>
      </c>
      <c r="AD18">
        <f>X18*3+Y18</f>
        <v>0</v>
      </c>
    </row>
    <row r="19" spans="2:30">
      <c r="B19" s="4" t="str">
        <v>South Korea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4"/>
      <c r="N19" s="9">
        <v>4</v>
      </c>
      <c r="O19" s="9" t="str">
        <v>D</v>
      </c>
      <c r="P19" s="9" t="str">
        <v>Türkiye</v>
      </c>
      <c r="Q19" s="9">
        <v>0</v>
      </c>
      <c r="R19" s="9">
        <v>0</v>
      </c>
      <c r="S19" s="9">
        <v>0</v>
      </c>
      <c r="V19" t="s">
        <v>55</v>
      </c>
      <c r="W19">
        <f>COUNTIFS(tPartidos[Jugado],"Sí",tPartidos[EquipoLocal],V19)+COUNTIFS(tPartidos[Jugado],"Sí",tPartidos[EquipoVisita],V19)</f>
        <v>0</v>
      </c>
      <c r="X19">
        <f>SUMPRODUCT((tPartidos[Jugado]="Sí")*(tPartidos[EquipoLocal]=V19)*(tPartidos[GL_Real]&gt;tPartidos[GV_Real]))+SUMPRODUCT((tPartidos[Jugado]="Sí")*(tPartidos[EquipoVisita]=V19)*(tPartidos[GV_Real]&gt;tPartidos[GL_Real]))</f>
        <v>0</v>
      </c>
      <c r="Y19">
        <f>SUMPRODUCT((tPartidos[Jugado]="Sí")*((tPartidos[EquipoLocal]=V19)+(tPartidos[EquipoVisita]=V19))*(tPartidos[GL_Real]=tPartidos[GV_Real]))</f>
        <v>0</v>
      </c>
      <c r="Z19">
        <f>W19-X19-Y19</f>
        <v>0</v>
      </c>
      <c r="AA19">
        <f>SUMIFS(tPartidos[GL_Real],tPartidos[Jugado],"Sí",tPartidos[EquipoLocal],V19)+SUMIFS(tPartidos[GV_Real],tPartidos[Jugado],"Sí",tPartidos[EquipoVisita],V19)</f>
        <v>0</v>
      </c>
      <c r="AB19">
        <f>SUMIFS(tPartidos[GV_Real],tPartidos[Jugado],"Sí",tPartidos[EquipoLocal],V19)+SUMIFS(tPartidos[GL_Real],tPartidos[Jugado],"Sí",tPartidos[EquipoVisita],V19)</f>
        <v>0</v>
      </c>
      <c r="AC19">
        <f>AA19-AB19</f>
        <v>0</v>
      </c>
      <c r="AD19">
        <f>X19*3+Y19</f>
        <v>0</v>
      </c>
    </row>
    <row r="20" spans="2:30">
      <c r="N20" s="9">
        <v>5</v>
      </c>
      <c r="O20" s="9" t="str">
        <v>E</v>
      </c>
      <c r="P20" s="9" t="str">
        <v>Germany</v>
      </c>
      <c r="Q20" s="9">
        <v>0</v>
      </c>
      <c r="R20" s="9">
        <v>0</v>
      </c>
      <c r="S20" s="9">
        <v>0</v>
      </c>
    </row>
    <row r="21" spans="2:30" ht="15.6" customHeight="1">
      <c r="B21" s="10" t="s">
        <v>147</v>
      </c>
      <c r="N21" s="9">
        <v>6</v>
      </c>
      <c r="O21" s="9" t="str">
        <v>F</v>
      </c>
      <c r="P21" s="9" t="str">
        <v>Sweden</v>
      </c>
      <c r="Q21" s="9">
        <v>0</v>
      </c>
      <c r="R21" s="9">
        <v>0</v>
      </c>
      <c r="S21" s="9">
        <v>0</v>
      </c>
    </row>
    <row r="22" spans="2:30">
      <c r="B22" s="28" t="s">
        <v>134</v>
      </c>
      <c r="C22" s="28" t="s">
        <v>141</v>
      </c>
      <c r="D22" s="28" t="s">
        <v>97</v>
      </c>
      <c r="E22" s="28" t="s">
        <v>79</v>
      </c>
      <c r="F22" s="28" t="s">
        <v>142</v>
      </c>
      <c r="G22" s="28" t="s">
        <v>137</v>
      </c>
      <c r="H22" s="28" t="s">
        <v>143</v>
      </c>
      <c r="I22" s="28" t="s">
        <v>136</v>
      </c>
      <c r="J22" s="28" t="s">
        <v>135</v>
      </c>
      <c r="K22" s="28" t="s">
        <v>144</v>
      </c>
      <c r="N22" s="9">
        <v>7</v>
      </c>
      <c r="O22" s="9" t="str">
        <v>G</v>
      </c>
      <c r="P22" s="9" t="str">
        <v>Iran</v>
      </c>
      <c r="Q22" s="9">
        <v>0</v>
      </c>
      <c r="R22" s="9">
        <v>0</v>
      </c>
      <c r="S22" s="9">
        <v>0</v>
      </c>
    </row>
    <row r="23" spans="2:30">
      <c r="B23" s="4" t="str">
        <f t="array" ref="B23:J26">_xlfn.SORTBY(V23:AD26,AD23:AD26,-1,AC23:AC26,-1,AA23:AA26,-1)</f>
        <v>Bosnia &amp; Herzegovina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4" t="s">
        <v>146</v>
      </c>
      <c r="N23" s="9">
        <v>8</v>
      </c>
      <c r="O23" s="9" t="str">
        <v>H</v>
      </c>
      <c r="P23" s="9" t="str">
        <v>Spain</v>
      </c>
      <c r="Q23" s="9">
        <v>0</v>
      </c>
      <c r="R23" s="9">
        <v>0</v>
      </c>
      <c r="S23" s="9">
        <v>0</v>
      </c>
      <c r="V23" t="s">
        <v>60</v>
      </c>
      <c r="W23">
        <f>COUNTIFS(tPartidos[Jugado],"Sí",tPartidos[EquipoLocal],V23)+COUNTIFS(tPartidos[Jugado],"Sí",tPartidos[EquipoVisita],V23)</f>
        <v>0</v>
      </c>
      <c r="X23">
        <f>SUMPRODUCT((tPartidos[Jugado]="Sí")*(tPartidos[EquipoLocal]=V23)*(tPartidos[GL_Real]&gt;tPartidos[GV_Real]))+SUMPRODUCT((tPartidos[Jugado]="Sí")*(tPartidos[EquipoVisita]=V23)*(tPartidos[GV_Real]&gt;tPartidos[GL_Real]))</f>
        <v>0</v>
      </c>
      <c r="Y23">
        <f>SUMPRODUCT((tPartidos[Jugado]="Sí")*((tPartidos[EquipoLocal]=V23)+(tPartidos[EquipoVisita]=V23))*(tPartidos[GL_Real]=tPartidos[GV_Real]))</f>
        <v>0</v>
      </c>
      <c r="Z23">
        <f>W23-X23-Y23</f>
        <v>0</v>
      </c>
      <c r="AA23">
        <f>SUMIFS(tPartidos[GL_Real],tPartidos[Jugado],"Sí",tPartidos[EquipoLocal],V23)+SUMIFS(tPartidos[GV_Real],tPartidos[Jugado],"Sí",tPartidos[EquipoVisita],V23)</f>
        <v>0</v>
      </c>
      <c r="AB23">
        <f>SUMIFS(tPartidos[GV_Real],tPartidos[Jugado],"Sí",tPartidos[EquipoLocal],V23)+SUMIFS(tPartidos[GL_Real],tPartidos[Jugado],"Sí",tPartidos[EquipoVisita],V23)</f>
        <v>0</v>
      </c>
      <c r="AC23">
        <f>AA23-AB23</f>
        <v>0</v>
      </c>
      <c r="AD23">
        <f>X23*3+Y23</f>
        <v>0</v>
      </c>
    </row>
    <row r="24" spans="2:30">
      <c r="B24" s="4" t="str">
        <v>Canada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4" t="s">
        <v>146</v>
      </c>
      <c r="V24" t="s">
        <v>59</v>
      </c>
      <c r="W24">
        <f>COUNTIFS(tPartidos[Jugado],"Sí",tPartidos[EquipoLocal],V24)+COUNTIFS(tPartidos[Jugado],"Sí",tPartidos[EquipoVisita],V24)</f>
        <v>0</v>
      </c>
      <c r="X24">
        <f>SUMPRODUCT((tPartidos[Jugado]="Sí")*(tPartidos[EquipoLocal]=V24)*(tPartidos[GL_Real]&gt;tPartidos[GV_Real]))+SUMPRODUCT((tPartidos[Jugado]="Sí")*(tPartidos[EquipoVisita]=V24)*(tPartidos[GV_Real]&gt;tPartidos[GL_Real]))</f>
        <v>0</v>
      </c>
      <c r="Y24">
        <f>SUMPRODUCT((tPartidos[Jugado]="Sí")*((tPartidos[EquipoLocal]=V24)+(tPartidos[EquipoVisita]=V24))*(tPartidos[GL_Real]=tPartidos[GV_Real]))</f>
        <v>0</v>
      </c>
      <c r="Z24">
        <f>W24-X24-Y24</f>
        <v>0</v>
      </c>
      <c r="AA24">
        <f>SUMIFS(tPartidos[GL_Real],tPartidos[Jugado],"Sí",tPartidos[EquipoLocal],V24)+SUMIFS(tPartidos[GV_Real],tPartidos[Jugado],"Sí",tPartidos[EquipoVisita],V24)</f>
        <v>0</v>
      </c>
      <c r="AB24">
        <f>SUMIFS(tPartidos[GV_Real],tPartidos[Jugado],"Sí",tPartidos[EquipoLocal],V24)+SUMIFS(tPartidos[GL_Real],tPartidos[Jugado],"Sí",tPartidos[EquipoVisita],V24)</f>
        <v>0</v>
      </c>
      <c r="AC24">
        <f>AA24-AB24</f>
        <v>0</v>
      </c>
      <c r="AD24">
        <f>X24*3+Y24</f>
        <v>0</v>
      </c>
    </row>
    <row r="25" spans="2:30">
      <c r="B25" s="4" t="str">
        <v>Qatar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4" t="str">
        <f>IF(ISNUMBER(MATCH($B25,$P$16:$P$23,0)),"3°","")</f>
        <v>3°</v>
      </c>
      <c r="V25" t="s">
        <v>69</v>
      </c>
      <c r="W25">
        <f>COUNTIFS(tPartidos[Jugado],"Sí",tPartidos[EquipoLocal],V25)+COUNTIFS(tPartidos[Jugado],"Sí",tPartidos[EquipoVisita],V25)</f>
        <v>0</v>
      </c>
      <c r="X25">
        <f>SUMPRODUCT((tPartidos[Jugado]="Sí")*(tPartidos[EquipoLocal]=V25)*(tPartidos[GL_Real]&gt;tPartidos[GV_Real]))+SUMPRODUCT((tPartidos[Jugado]="Sí")*(tPartidos[EquipoVisita]=V25)*(tPartidos[GV_Real]&gt;tPartidos[GL_Real]))</f>
        <v>0</v>
      </c>
      <c r="Y25">
        <f>SUMPRODUCT((tPartidos[Jugado]="Sí")*((tPartidos[EquipoLocal]=V25)+(tPartidos[EquipoVisita]=V25))*(tPartidos[GL_Real]=tPartidos[GV_Real]))</f>
        <v>0</v>
      </c>
      <c r="Z25">
        <f>W25-X25-Y25</f>
        <v>0</v>
      </c>
      <c r="AA25">
        <f>SUMIFS(tPartidos[GL_Real],tPartidos[Jugado],"Sí",tPartidos[EquipoLocal],V25)+SUMIFS(tPartidos[GV_Real],tPartidos[Jugado],"Sí",tPartidos[EquipoVisita],V25)</f>
        <v>0</v>
      </c>
      <c r="AB25">
        <f>SUMIFS(tPartidos[GV_Real],tPartidos[Jugado],"Sí",tPartidos[EquipoLocal],V25)+SUMIFS(tPartidos[GL_Real],tPartidos[Jugado],"Sí",tPartidos[EquipoVisita],V25)</f>
        <v>0</v>
      </c>
      <c r="AC25">
        <f>AA25-AB25</f>
        <v>0</v>
      </c>
      <c r="AD25">
        <f>X25*3+Y25</f>
        <v>0</v>
      </c>
    </row>
    <row r="26" spans="2:30">
      <c r="B26" s="4" t="str">
        <v>Switzerland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4"/>
      <c r="V26" t="s">
        <v>70</v>
      </c>
      <c r="W26">
        <f>COUNTIFS(tPartidos[Jugado],"Sí",tPartidos[EquipoLocal],V26)+COUNTIFS(tPartidos[Jugado],"Sí",tPartidos[EquipoVisita],V26)</f>
        <v>0</v>
      </c>
      <c r="X26">
        <f>SUMPRODUCT((tPartidos[Jugado]="Sí")*(tPartidos[EquipoLocal]=V26)*(tPartidos[GL_Real]&gt;tPartidos[GV_Real]))+SUMPRODUCT((tPartidos[Jugado]="Sí")*(tPartidos[EquipoVisita]=V26)*(tPartidos[GV_Real]&gt;tPartidos[GL_Real]))</f>
        <v>0</v>
      </c>
      <c r="Y26">
        <f>SUMPRODUCT((tPartidos[Jugado]="Sí")*((tPartidos[EquipoLocal]=V26)+(tPartidos[EquipoVisita]=V26))*(tPartidos[GL_Real]=tPartidos[GV_Real]))</f>
        <v>0</v>
      </c>
      <c r="Z26">
        <f>W26-X26-Y26</f>
        <v>0</v>
      </c>
      <c r="AA26">
        <f>SUMIFS(tPartidos[GL_Real],tPartidos[Jugado],"Sí",tPartidos[EquipoLocal],V26)+SUMIFS(tPartidos[GV_Real],tPartidos[Jugado],"Sí",tPartidos[EquipoVisita],V26)</f>
        <v>0</v>
      </c>
      <c r="AB26">
        <f>SUMIFS(tPartidos[GV_Real],tPartidos[Jugado],"Sí",tPartidos[EquipoLocal],V26)+SUMIFS(tPartidos[GL_Real],tPartidos[Jugado],"Sí",tPartidos[EquipoVisita],V26)</f>
        <v>0</v>
      </c>
      <c r="AC26">
        <f>AA26-AB26</f>
        <v>0</v>
      </c>
      <c r="AD26">
        <f>X26*3+Y26</f>
        <v>0</v>
      </c>
    </row>
    <row r="28" spans="2:30" ht="15.6" customHeight="1">
      <c r="B28" s="10" t="s">
        <v>148</v>
      </c>
    </row>
    <row r="29" spans="2:30">
      <c r="B29" s="28" t="s">
        <v>134</v>
      </c>
      <c r="C29" s="28" t="s">
        <v>141</v>
      </c>
      <c r="D29" s="28" t="s">
        <v>97</v>
      </c>
      <c r="E29" s="28" t="s">
        <v>79</v>
      </c>
      <c r="F29" s="28" t="s">
        <v>142</v>
      </c>
      <c r="G29" s="28" t="s">
        <v>137</v>
      </c>
      <c r="H29" s="28" t="s">
        <v>143</v>
      </c>
      <c r="I29" s="28" t="s">
        <v>136</v>
      </c>
      <c r="J29" s="28" t="s">
        <v>135</v>
      </c>
      <c r="K29" s="28" t="s">
        <v>144</v>
      </c>
    </row>
    <row r="30" spans="2:30">
      <c r="B30" s="4" t="str">
        <f t="array" ref="B30:J33">_xlfn.SORTBY(V30:AD33,AD30:AD33,-1,AC30:AC33,-1,AA30:AA33,-1)</f>
        <v>Brazil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4" t="s">
        <v>146</v>
      </c>
      <c r="V30" t="s">
        <v>73</v>
      </c>
      <c r="W30">
        <f>COUNTIFS(tPartidos[Jugado],"Sí",tPartidos[EquipoLocal],V30)+COUNTIFS(tPartidos[Jugado],"Sí",tPartidos[EquipoVisita],V30)</f>
        <v>0</v>
      </c>
      <c r="X30">
        <f>SUMPRODUCT((tPartidos[Jugado]="Sí")*(tPartidos[EquipoLocal]=V30)*(tPartidos[GL_Real]&gt;tPartidos[GV_Real]))+SUMPRODUCT((tPartidos[Jugado]="Sí")*(tPartidos[EquipoVisita]=V30)*(tPartidos[GV_Real]&gt;tPartidos[GL_Real]))</f>
        <v>0</v>
      </c>
      <c r="Y30">
        <f>SUMPRODUCT((tPartidos[Jugado]="Sí")*((tPartidos[EquipoLocal]=V30)+(tPartidos[EquipoVisita]=V30))*(tPartidos[GL_Real]=tPartidos[GV_Real]))</f>
        <v>0</v>
      </c>
      <c r="Z30">
        <f>W30-X30-Y30</f>
        <v>0</v>
      </c>
      <c r="AA30">
        <f>SUMIFS(tPartidos[GL_Real],tPartidos[Jugado],"Sí",tPartidos[EquipoLocal],V30)+SUMIFS(tPartidos[GV_Real],tPartidos[Jugado],"Sí",tPartidos[EquipoVisita],V30)</f>
        <v>0</v>
      </c>
      <c r="AB30">
        <f>SUMIFS(tPartidos[GV_Real],tPartidos[Jugado],"Sí",tPartidos[EquipoLocal],V30)+SUMIFS(tPartidos[GL_Real],tPartidos[Jugado],"Sí",tPartidos[EquipoVisita],V30)</f>
        <v>0</v>
      </c>
      <c r="AC30">
        <f>AA30-AB30</f>
        <v>0</v>
      </c>
      <c r="AD30">
        <f>X30*3+Y30</f>
        <v>0</v>
      </c>
    </row>
    <row r="31" spans="2:30">
      <c r="B31" s="4" t="str">
        <v>Haiti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4" t="s">
        <v>146</v>
      </c>
      <c r="V31" t="s">
        <v>76</v>
      </c>
      <c r="W31">
        <f>COUNTIFS(tPartidos[Jugado],"Sí",tPartidos[EquipoLocal],V31)+COUNTIFS(tPartidos[Jugado],"Sí",tPartidos[EquipoVisita],V31)</f>
        <v>0</v>
      </c>
      <c r="X31">
        <f>SUMPRODUCT((tPartidos[Jugado]="Sí")*(tPartidos[EquipoLocal]=V31)*(tPartidos[GL_Real]&gt;tPartidos[GV_Real]))+SUMPRODUCT((tPartidos[Jugado]="Sí")*(tPartidos[EquipoVisita]=V31)*(tPartidos[GV_Real]&gt;tPartidos[GL_Real]))</f>
        <v>0</v>
      </c>
      <c r="Y31">
        <f>SUMPRODUCT((tPartidos[Jugado]="Sí")*((tPartidos[EquipoLocal]=V31)+(tPartidos[EquipoVisita]=V31))*(tPartidos[GL_Real]=tPartidos[GV_Real]))</f>
        <v>0</v>
      </c>
      <c r="Z31">
        <f>W31-X31-Y31</f>
        <v>0</v>
      </c>
      <c r="AA31">
        <f>SUMIFS(tPartidos[GL_Real],tPartidos[Jugado],"Sí",tPartidos[EquipoLocal],V31)+SUMIFS(tPartidos[GV_Real],tPartidos[Jugado],"Sí",tPartidos[EquipoVisita],V31)</f>
        <v>0</v>
      </c>
      <c r="AB31">
        <f>SUMIFS(tPartidos[GV_Real],tPartidos[Jugado],"Sí",tPartidos[EquipoLocal],V31)+SUMIFS(tPartidos[GL_Real],tPartidos[Jugado],"Sí",tPartidos[EquipoVisita],V31)</f>
        <v>0</v>
      </c>
      <c r="AC31">
        <f>AA31-AB31</f>
        <v>0</v>
      </c>
      <c r="AD31">
        <f>X31*3+Y31</f>
        <v>0</v>
      </c>
    </row>
    <row r="32" spans="2:30">
      <c r="B32" s="4" t="str">
        <v>Morocco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4" t="str">
        <f>IF(ISNUMBER(MATCH($B32,$P$16:$P$23,0)),"3°","")</f>
        <v>3°</v>
      </c>
      <c r="V32" t="s">
        <v>74</v>
      </c>
      <c r="W32">
        <f>COUNTIFS(tPartidos[Jugado],"Sí",tPartidos[EquipoLocal],V32)+COUNTIFS(tPartidos[Jugado],"Sí",tPartidos[EquipoVisita],V32)</f>
        <v>0</v>
      </c>
      <c r="X32">
        <f>SUMPRODUCT((tPartidos[Jugado]="Sí")*(tPartidos[EquipoLocal]=V32)*(tPartidos[GL_Real]&gt;tPartidos[GV_Real]))+SUMPRODUCT((tPartidos[Jugado]="Sí")*(tPartidos[EquipoVisita]=V32)*(tPartidos[GV_Real]&gt;tPartidos[GL_Real]))</f>
        <v>0</v>
      </c>
      <c r="Y32">
        <f>SUMPRODUCT((tPartidos[Jugado]="Sí")*((tPartidos[EquipoLocal]=V32)+(tPartidos[EquipoVisita]=V32))*(tPartidos[GL_Real]=tPartidos[GV_Real]))</f>
        <v>0</v>
      </c>
      <c r="Z32">
        <f>W32-X32-Y32</f>
        <v>0</v>
      </c>
      <c r="AA32">
        <f>SUMIFS(tPartidos[GL_Real],tPartidos[Jugado],"Sí",tPartidos[EquipoLocal],V32)+SUMIFS(tPartidos[GV_Real],tPartidos[Jugado],"Sí",tPartidos[EquipoVisita],V32)</f>
        <v>0</v>
      </c>
      <c r="AB32">
        <f>SUMIFS(tPartidos[GV_Real],tPartidos[Jugado],"Sí",tPartidos[EquipoLocal],V32)+SUMIFS(tPartidos[GL_Real],tPartidos[Jugado],"Sí",tPartidos[EquipoVisita],V32)</f>
        <v>0</v>
      </c>
      <c r="AC32">
        <f>AA32-AB32</f>
        <v>0</v>
      </c>
      <c r="AD32">
        <f>X32*3+Y32</f>
        <v>0</v>
      </c>
    </row>
    <row r="33" spans="2:30">
      <c r="B33" s="4" t="str">
        <v>Scotland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4"/>
      <c r="V33" t="s">
        <v>77</v>
      </c>
      <c r="W33">
        <f>COUNTIFS(tPartidos[Jugado],"Sí",tPartidos[EquipoLocal],V33)+COUNTIFS(tPartidos[Jugado],"Sí",tPartidos[EquipoVisita],V33)</f>
        <v>0</v>
      </c>
      <c r="X33">
        <f>SUMPRODUCT((tPartidos[Jugado]="Sí")*(tPartidos[EquipoLocal]=V33)*(tPartidos[GL_Real]&gt;tPartidos[GV_Real]))+SUMPRODUCT((tPartidos[Jugado]="Sí")*(tPartidos[EquipoVisita]=V33)*(tPartidos[GV_Real]&gt;tPartidos[GL_Real]))</f>
        <v>0</v>
      </c>
      <c r="Y33">
        <f>SUMPRODUCT((tPartidos[Jugado]="Sí")*((tPartidos[EquipoLocal]=V33)+(tPartidos[EquipoVisita]=V33))*(tPartidos[GL_Real]=tPartidos[GV_Real]))</f>
        <v>0</v>
      </c>
      <c r="Z33">
        <f>W33-X33-Y33</f>
        <v>0</v>
      </c>
      <c r="AA33">
        <f>SUMIFS(tPartidos[GL_Real],tPartidos[Jugado],"Sí",tPartidos[EquipoLocal],V33)+SUMIFS(tPartidos[GV_Real],tPartidos[Jugado],"Sí",tPartidos[EquipoVisita],V33)</f>
        <v>0</v>
      </c>
      <c r="AB33">
        <f>SUMIFS(tPartidos[GV_Real],tPartidos[Jugado],"Sí",tPartidos[EquipoLocal],V33)+SUMIFS(tPartidos[GL_Real],tPartidos[Jugado],"Sí",tPartidos[EquipoVisita],V33)</f>
        <v>0</v>
      </c>
      <c r="AC33">
        <f>AA33-AB33</f>
        <v>0</v>
      </c>
      <c r="AD33">
        <f>X33*3+Y33</f>
        <v>0</v>
      </c>
    </row>
    <row r="35" spans="2:30" ht="15.6" customHeight="1">
      <c r="B35" s="10" t="s">
        <v>149</v>
      </c>
    </row>
    <row r="36" spans="2:30">
      <c r="B36" s="28" t="s">
        <v>134</v>
      </c>
      <c r="C36" s="28" t="s">
        <v>141</v>
      </c>
      <c r="D36" s="28" t="s">
        <v>97</v>
      </c>
      <c r="E36" s="28" t="s">
        <v>79</v>
      </c>
      <c r="F36" s="28" t="s">
        <v>142</v>
      </c>
      <c r="G36" s="28" t="s">
        <v>137</v>
      </c>
      <c r="H36" s="28" t="s">
        <v>143</v>
      </c>
      <c r="I36" s="28" t="s">
        <v>136</v>
      </c>
      <c r="J36" s="28" t="s">
        <v>135</v>
      </c>
      <c r="K36" s="28" t="s">
        <v>144</v>
      </c>
    </row>
    <row r="37" spans="2:30">
      <c r="B37" s="4" t="str">
        <f t="array" ref="B37:J40">_xlfn.SORTBY(V37:AD40,AD37:AD40,-1,AC37:AC40,-1,AA37:AA40,-1)</f>
        <v>Australia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4" t="s">
        <v>146</v>
      </c>
      <c r="V37" t="s">
        <v>66</v>
      </c>
      <c r="W37">
        <f>COUNTIFS(tPartidos[Jugado],"Sí",tPartidos[EquipoLocal],V37)+COUNTIFS(tPartidos[Jugado],"Sí",tPartidos[EquipoVisita],V37)</f>
        <v>0</v>
      </c>
      <c r="X37">
        <f>SUMPRODUCT((tPartidos[Jugado]="Sí")*(tPartidos[EquipoLocal]=V37)*(tPartidos[GL_Real]&gt;tPartidos[GV_Real]))+SUMPRODUCT((tPartidos[Jugado]="Sí")*(tPartidos[EquipoVisita]=V37)*(tPartidos[GV_Real]&gt;tPartidos[GL_Real]))</f>
        <v>0</v>
      </c>
      <c r="Y37">
        <f>SUMPRODUCT((tPartidos[Jugado]="Sí")*((tPartidos[EquipoLocal]=V37)+(tPartidos[EquipoVisita]=V37))*(tPartidos[GL_Real]=tPartidos[GV_Real]))</f>
        <v>0</v>
      </c>
      <c r="Z37">
        <f>W37-X37-Y37</f>
        <v>0</v>
      </c>
      <c r="AA37">
        <f>SUMIFS(tPartidos[GL_Real],tPartidos[Jugado],"Sí",tPartidos[EquipoLocal],V37)+SUMIFS(tPartidos[GV_Real],tPartidos[Jugado],"Sí",tPartidos[EquipoVisita],V37)</f>
        <v>0</v>
      </c>
      <c r="AB37">
        <f>SUMIFS(tPartidos[GV_Real],tPartidos[Jugado],"Sí",tPartidos[EquipoLocal],V37)+SUMIFS(tPartidos[GL_Real],tPartidos[Jugado],"Sí",tPartidos[EquipoVisita],V37)</f>
        <v>0</v>
      </c>
      <c r="AC37">
        <f>AA37-AB37</f>
        <v>0</v>
      </c>
      <c r="AD37">
        <f>X37*3+Y37</f>
        <v>0</v>
      </c>
    </row>
    <row r="38" spans="2:30">
      <c r="B38" s="4" t="str">
        <v>Paraguay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4" t="s">
        <v>146</v>
      </c>
      <c r="V38" t="s">
        <v>64</v>
      </c>
      <c r="W38">
        <f>COUNTIFS(tPartidos[Jugado],"Sí",tPartidos[EquipoLocal],V38)+COUNTIFS(tPartidos[Jugado],"Sí",tPartidos[EquipoVisita],V38)</f>
        <v>0</v>
      </c>
      <c r="X38">
        <f>SUMPRODUCT((tPartidos[Jugado]="Sí")*(tPartidos[EquipoLocal]=V38)*(tPartidos[GL_Real]&gt;tPartidos[GV_Real]))+SUMPRODUCT((tPartidos[Jugado]="Sí")*(tPartidos[EquipoVisita]=V38)*(tPartidos[GV_Real]&gt;tPartidos[GL_Real]))</f>
        <v>0</v>
      </c>
      <c r="Y38">
        <f>SUMPRODUCT((tPartidos[Jugado]="Sí")*((tPartidos[EquipoLocal]=V38)+(tPartidos[EquipoVisita]=V38))*(tPartidos[GL_Real]=tPartidos[GV_Real]))</f>
        <v>0</v>
      </c>
      <c r="Z38">
        <f>W38-X38-Y38</f>
        <v>0</v>
      </c>
      <c r="AA38">
        <f>SUMIFS(tPartidos[GL_Real],tPartidos[Jugado],"Sí",tPartidos[EquipoLocal],V38)+SUMIFS(tPartidos[GV_Real],tPartidos[Jugado],"Sí",tPartidos[EquipoVisita],V38)</f>
        <v>0</v>
      </c>
      <c r="AB38">
        <f>SUMIFS(tPartidos[GV_Real],tPartidos[Jugado],"Sí",tPartidos[EquipoLocal],V38)+SUMIFS(tPartidos[GL_Real],tPartidos[Jugado],"Sí",tPartidos[EquipoVisita],V38)</f>
        <v>0</v>
      </c>
      <c r="AC38">
        <f>AA38-AB38</f>
        <v>0</v>
      </c>
      <c r="AD38">
        <f>X38*3+Y38</f>
        <v>0</v>
      </c>
    </row>
    <row r="39" spans="2:30">
      <c r="B39" s="4" t="str">
        <v>Türkiye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4" t="str">
        <f>IF(ISNUMBER(MATCH($B39,$P$16:$P$23,0)),"3°","")</f>
        <v>3°</v>
      </c>
      <c r="V39" t="s">
        <v>67</v>
      </c>
      <c r="W39">
        <f>COUNTIFS(tPartidos[Jugado],"Sí",tPartidos[EquipoLocal],V39)+COUNTIFS(tPartidos[Jugado],"Sí",tPartidos[EquipoVisita],V39)</f>
        <v>0</v>
      </c>
      <c r="X39">
        <f>SUMPRODUCT((tPartidos[Jugado]="Sí")*(tPartidos[EquipoLocal]=V39)*(tPartidos[GL_Real]&gt;tPartidos[GV_Real]))+SUMPRODUCT((tPartidos[Jugado]="Sí")*(tPartidos[EquipoVisita]=V39)*(tPartidos[GV_Real]&gt;tPartidos[GL_Real]))</f>
        <v>0</v>
      </c>
      <c r="Y39">
        <f>SUMPRODUCT((tPartidos[Jugado]="Sí")*((tPartidos[EquipoLocal]=V39)+(tPartidos[EquipoVisita]=V39))*(tPartidos[GL_Real]=tPartidos[GV_Real]))</f>
        <v>0</v>
      </c>
      <c r="Z39">
        <f>W39-X39-Y39</f>
        <v>0</v>
      </c>
      <c r="AA39">
        <f>SUMIFS(tPartidos[GL_Real],tPartidos[Jugado],"Sí",tPartidos[EquipoLocal],V39)+SUMIFS(tPartidos[GV_Real],tPartidos[Jugado],"Sí",tPartidos[EquipoVisita],V39)</f>
        <v>0</v>
      </c>
      <c r="AB39">
        <f>SUMIFS(tPartidos[GV_Real],tPartidos[Jugado],"Sí",tPartidos[EquipoLocal],V39)+SUMIFS(tPartidos[GL_Real],tPartidos[Jugado],"Sí",tPartidos[EquipoVisita],V39)</f>
        <v>0</v>
      </c>
      <c r="AC39">
        <f>AA39-AB39</f>
        <v>0</v>
      </c>
      <c r="AD39">
        <f>X39*3+Y39</f>
        <v>0</v>
      </c>
    </row>
    <row r="40" spans="2:30">
      <c r="B40" s="4" t="str">
        <v>USA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4"/>
      <c r="V40" t="s">
        <v>63</v>
      </c>
      <c r="W40">
        <f>COUNTIFS(tPartidos[Jugado],"Sí",tPartidos[EquipoLocal],V40)+COUNTIFS(tPartidos[Jugado],"Sí",tPartidos[EquipoVisita],V40)</f>
        <v>0</v>
      </c>
      <c r="X40">
        <f>SUMPRODUCT((tPartidos[Jugado]="Sí")*(tPartidos[EquipoLocal]=V40)*(tPartidos[GL_Real]&gt;tPartidos[GV_Real]))+SUMPRODUCT((tPartidos[Jugado]="Sí")*(tPartidos[EquipoVisita]=V40)*(tPartidos[GV_Real]&gt;tPartidos[GL_Real]))</f>
        <v>0</v>
      </c>
      <c r="Y40">
        <f>SUMPRODUCT((tPartidos[Jugado]="Sí")*((tPartidos[EquipoLocal]=V40)+(tPartidos[EquipoVisita]=V40))*(tPartidos[GL_Real]=tPartidos[GV_Real]))</f>
        <v>0</v>
      </c>
      <c r="Z40">
        <f>W40-X40-Y40</f>
        <v>0</v>
      </c>
      <c r="AA40">
        <f>SUMIFS(tPartidos[GL_Real],tPartidos[Jugado],"Sí",tPartidos[EquipoLocal],V40)+SUMIFS(tPartidos[GV_Real],tPartidos[Jugado],"Sí",tPartidos[EquipoVisita],V40)</f>
        <v>0</v>
      </c>
      <c r="AB40">
        <f>SUMIFS(tPartidos[GV_Real],tPartidos[Jugado],"Sí",tPartidos[EquipoLocal],V40)+SUMIFS(tPartidos[GL_Real],tPartidos[Jugado],"Sí",tPartidos[EquipoVisita],V40)</f>
        <v>0</v>
      </c>
      <c r="AC40">
        <f>AA40-AB40</f>
        <v>0</v>
      </c>
      <c r="AD40">
        <f>X40*3+Y40</f>
        <v>0</v>
      </c>
    </row>
    <row r="42" spans="2:30" ht="15.6" customHeight="1">
      <c r="B42" s="10" t="s">
        <v>150</v>
      </c>
    </row>
    <row r="43" spans="2:30">
      <c r="B43" s="28" t="s">
        <v>134</v>
      </c>
      <c r="C43" s="28" t="s">
        <v>141</v>
      </c>
      <c r="D43" s="28" t="s">
        <v>97</v>
      </c>
      <c r="E43" s="28" t="s">
        <v>79</v>
      </c>
      <c r="F43" s="28" t="s">
        <v>142</v>
      </c>
      <c r="G43" s="28" t="s">
        <v>137</v>
      </c>
      <c r="H43" s="28" t="s">
        <v>143</v>
      </c>
      <c r="I43" s="28" t="s">
        <v>136</v>
      </c>
      <c r="J43" s="28" t="s">
        <v>135</v>
      </c>
      <c r="K43" s="28" t="s">
        <v>144</v>
      </c>
    </row>
    <row r="44" spans="2:30">
      <c r="B44" s="4" t="str">
        <f t="array" ref="B44:J47">_xlfn.SORTBY(V44:AD47,AD44:AD47,-1,AC44:AC47,-1,AA44:AA47,-1)</f>
        <v>Curaçao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4" t="s">
        <v>146</v>
      </c>
      <c r="V44" t="s">
        <v>81</v>
      </c>
      <c r="W44">
        <f>COUNTIFS(tPartidos[Jugado],"Sí",tPartidos[EquipoLocal],V44)+COUNTIFS(tPartidos[Jugado],"Sí",tPartidos[EquipoVisita],V44)</f>
        <v>0</v>
      </c>
      <c r="X44">
        <f>SUMPRODUCT((tPartidos[Jugado]="Sí")*(tPartidos[EquipoLocal]=V44)*(tPartidos[GL_Real]&gt;tPartidos[GV_Real]))+SUMPRODUCT((tPartidos[Jugado]="Sí")*(tPartidos[EquipoVisita]=V44)*(tPartidos[GV_Real]&gt;tPartidos[GL_Real]))</f>
        <v>0</v>
      </c>
      <c r="Y44">
        <f>SUMPRODUCT((tPartidos[Jugado]="Sí")*((tPartidos[EquipoLocal]=V44)+(tPartidos[EquipoVisita]=V44))*(tPartidos[GL_Real]=tPartidos[GV_Real]))</f>
        <v>0</v>
      </c>
      <c r="Z44">
        <f>W44-X44-Y44</f>
        <v>0</v>
      </c>
      <c r="AA44">
        <f>SUMIFS(tPartidos[GL_Real],tPartidos[Jugado],"Sí",tPartidos[EquipoLocal],V44)+SUMIFS(tPartidos[GV_Real],tPartidos[Jugado],"Sí",tPartidos[EquipoVisita],V44)</f>
        <v>0</v>
      </c>
      <c r="AB44">
        <f>SUMIFS(tPartidos[GV_Real],tPartidos[Jugado],"Sí",tPartidos[EquipoLocal],V44)+SUMIFS(tPartidos[GL_Real],tPartidos[Jugado],"Sí",tPartidos[EquipoVisita],V44)</f>
        <v>0</v>
      </c>
      <c r="AC44">
        <f>AA44-AB44</f>
        <v>0</v>
      </c>
      <c r="AD44">
        <f>X44*3+Y44</f>
        <v>0</v>
      </c>
    </row>
    <row r="45" spans="2:30">
      <c r="B45" s="4" t="str">
        <v>Ecuador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4" t="s">
        <v>146</v>
      </c>
      <c r="V45" t="s">
        <v>88</v>
      </c>
      <c r="W45">
        <f>COUNTIFS(tPartidos[Jugado],"Sí",tPartidos[EquipoLocal],V45)+COUNTIFS(tPartidos[Jugado],"Sí",tPartidos[EquipoVisita],V45)</f>
        <v>0</v>
      </c>
      <c r="X45">
        <f>SUMPRODUCT((tPartidos[Jugado]="Sí")*(tPartidos[EquipoLocal]=V45)*(tPartidos[GL_Real]&gt;tPartidos[GV_Real]))+SUMPRODUCT((tPartidos[Jugado]="Sí")*(tPartidos[EquipoVisita]=V45)*(tPartidos[GV_Real]&gt;tPartidos[GL_Real]))</f>
        <v>0</v>
      </c>
      <c r="Y45">
        <f>SUMPRODUCT((tPartidos[Jugado]="Sí")*((tPartidos[EquipoLocal]=V45)+(tPartidos[EquipoVisita]=V45))*(tPartidos[GL_Real]=tPartidos[GV_Real]))</f>
        <v>0</v>
      </c>
      <c r="Z45">
        <f>W45-X45-Y45</f>
        <v>0</v>
      </c>
      <c r="AA45">
        <f>SUMIFS(tPartidos[GL_Real],tPartidos[Jugado],"Sí",tPartidos[EquipoLocal],V45)+SUMIFS(tPartidos[GV_Real],tPartidos[Jugado],"Sí",tPartidos[EquipoVisita],V45)</f>
        <v>0</v>
      </c>
      <c r="AB45">
        <f>SUMIFS(tPartidos[GV_Real],tPartidos[Jugado],"Sí",tPartidos[EquipoLocal],V45)+SUMIFS(tPartidos[GL_Real],tPartidos[Jugado],"Sí",tPartidos[EquipoVisita],V45)</f>
        <v>0</v>
      </c>
      <c r="AC45">
        <f>AA45-AB45</f>
        <v>0</v>
      </c>
      <c r="AD45">
        <f>X45*3+Y45</f>
        <v>0</v>
      </c>
    </row>
    <row r="46" spans="2:30">
      <c r="B46" s="4" t="str">
        <v>Germany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4" t="str">
        <f>IF(ISNUMBER(MATCH($B46,$P$16:$P$23,0)),"3°","")</f>
        <v>3°</v>
      </c>
      <c r="V46" t="s">
        <v>80</v>
      </c>
      <c r="W46">
        <f>COUNTIFS(tPartidos[Jugado],"Sí",tPartidos[EquipoLocal],V46)+COUNTIFS(tPartidos[Jugado],"Sí",tPartidos[EquipoVisita],V46)</f>
        <v>0</v>
      </c>
      <c r="X46">
        <f>SUMPRODUCT((tPartidos[Jugado]="Sí")*(tPartidos[EquipoLocal]=V46)*(tPartidos[GL_Real]&gt;tPartidos[GV_Real]))+SUMPRODUCT((tPartidos[Jugado]="Sí")*(tPartidos[EquipoVisita]=V46)*(tPartidos[GV_Real]&gt;tPartidos[GL_Real]))</f>
        <v>0</v>
      </c>
      <c r="Y46">
        <f>SUMPRODUCT((tPartidos[Jugado]="Sí")*((tPartidos[EquipoLocal]=V46)+(tPartidos[EquipoVisita]=V46))*(tPartidos[GL_Real]=tPartidos[GV_Real]))</f>
        <v>0</v>
      </c>
      <c r="Z46">
        <f>W46-X46-Y46</f>
        <v>0</v>
      </c>
      <c r="AA46">
        <f>SUMIFS(tPartidos[GL_Real],tPartidos[Jugado],"Sí",tPartidos[EquipoLocal],V46)+SUMIFS(tPartidos[GV_Real],tPartidos[Jugado],"Sí",tPartidos[EquipoVisita],V46)</f>
        <v>0</v>
      </c>
      <c r="AB46">
        <f>SUMIFS(tPartidos[GV_Real],tPartidos[Jugado],"Sí",tPartidos[EquipoLocal],V46)+SUMIFS(tPartidos[GL_Real],tPartidos[Jugado],"Sí",tPartidos[EquipoVisita],V46)</f>
        <v>0</v>
      </c>
      <c r="AC46">
        <f>AA46-AB46</f>
        <v>0</v>
      </c>
      <c r="AD46">
        <f>X46*3+Y46</f>
        <v>0</v>
      </c>
    </row>
    <row r="47" spans="2:30">
      <c r="B47" s="4" t="str">
        <v>Ivory Coast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4"/>
      <c r="V47" t="s">
        <v>87</v>
      </c>
      <c r="W47">
        <f>COUNTIFS(tPartidos[Jugado],"Sí",tPartidos[EquipoLocal],V47)+COUNTIFS(tPartidos[Jugado],"Sí",tPartidos[EquipoVisita],V47)</f>
        <v>0</v>
      </c>
      <c r="X47">
        <f>SUMPRODUCT((tPartidos[Jugado]="Sí")*(tPartidos[EquipoLocal]=V47)*(tPartidos[GL_Real]&gt;tPartidos[GV_Real]))+SUMPRODUCT((tPartidos[Jugado]="Sí")*(tPartidos[EquipoVisita]=V47)*(tPartidos[GV_Real]&gt;tPartidos[GL_Real]))</f>
        <v>0</v>
      </c>
      <c r="Y47">
        <f>SUMPRODUCT((tPartidos[Jugado]="Sí")*((tPartidos[EquipoLocal]=V47)+(tPartidos[EquipoVisita]=V47))*(tPartidos[GL_Real]=tPartidos[GV_Real]))</f>
        <v>0</v>
      </c>
      <c r="Z47">
        <f>W47-X47-Y47</f>
        <v>0</v>
      </c>
      <c r="AA47">
        <f>SUMIFS(tPartidos[GL_Real],tPartidos[Jugado],"Sí",tPartidos[EquipoLocal],V47)+SUMIFS(tPartidos[GV_Real],tPartidos[Jugado],"Sí",tPartidos[EquipoVisita],V47)</f>
        <v>0</v>
      </c>
      <c r="AB47">
        <f>SUMIFS(tPartidos[GV_Real],tPartidos[Jugado],"Sí",tPartidos[EquipoLocal],V47)+SUMIFS(tPartidos[GL_Real],tPartidos[Jugado],"Sí",tPartidos[EquipoVisita],V47)</f>
        <v>0</v>
      </c>
      <c r="AC47">
        <f>AA47-AB47</f>
        <v>0</v>
      </c>
      <c r="AD47">
        <f>X47*3+Y47</f>
        <v>0</v>
      </c>
    </row>
    <row r="49" spans="2:30" ht="15.6" customHeight="1">
      <c r="B49" s="10" t="s">
        <v>151</v>
      </c>
    </row>
    <row r="50" spans="2:30">
      <c r="B50" s="28" t="s">
        <v>134</v>
      </c>
      <c r="C50" s="28" t="s">
        <v>141</v>
      </c>
      <c r="D50" s="28" t="s">
        <v>97</v>
      </c>
      <c r="E50" s="28" t="s">
        <v>79</v>
      </c>
      <c r="F50" s="28" t="s">
        <v>142</v>
      </c>
      <c r="G50" s="28" t="s">
        <v>137</v>
      </c>
      <c r="H50" s="28" t="s">
        <v>143</v>
      </c>
      <c r="I50" s="28" t="s">
        <v>136</v>
      </c>
      <c r="J50" s="28" t="s">
        <v>135</v>
      </c>
      <c r="K50" s="28" t="s">
        <v>144</v>
      </c>
    </row>
    <row r="51" spans="2:30">
      <c r="B51" s="4" t="str">
        <f t="array" ref="B51:J54">_xlfn.SORTBY(V51:AD54,AD51:AD54,-1,AC51:AC54,-1,AA51:AA54,-1)</f>
        <v>Japan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4" t="s">
        <v>146</v>
      </c>
      <c r="V51" t="s">
        <v>85</v>
      </c>
      <c r="W51">
        <f>COUNTIFS(tPartidos[Jugado],"Sí",tPartidos[EquipoLocal],V51)+COUNTIFS(tPartidos[Jugado],"Sí",tPartidos[EquipoVisita],V51)</f>
        <v>0</v>
      </c>
      <c r="X51">
        <f>SUMPRODUCT((tPartidos[Jugado]="Sí")*(tPartidos[EquipoLocal]=V51)*(tPartidos[GL_Real]&gt;tPartidos[GV_Real]))+SUMPRODUCT((tPartidos[Jugado]="Sí")*(tPartidos[EquipoVisita]=V51)*(tPartidos[GV_Real]&gt;tPartidos[GL_Real]))</f>
        <v>0</v>
      </c>
      <c r="Y51">
        <f>SUMPRODUCT((tPartidos[Jugado]="Sí")*((tPartidos[EquipoLocal]=V51)+(tPartidos[EquipoVisita]=V51))*(tPartidos[GL_Real]=tPartidos[GV_Real]))</f>
        <v>0</v>
      </c>
      <c r="Z51">
        <f>W51-X51-Y51</f>
        <v>0</v>
      </c>
      <c r="AA51">
        <f>SUMIFS(tPartidos[GL_Real],tPartidos[Jugado],"Sí",tPartidos[EquipoLocal],V51)+SUMIFS(tPartidos[GV_Real],tPartidos[Jugado],"Sí",tPartidos[EquipoVisita],V51)</f>
        <v>0</v>
      </c>
      <c r="AB51">
        <f>SUMIFS(tPartidos[GV_Real],tPartidos[Jugado],"Sí",tPartidos[EquipoLocal],V51)+SUMIFS(tPartidos[GL_Real],tPartidos[Jugado],"Sí",tPartidos[EquipoVisita],V51)</f>
        <v>0</v>
      </c>
      <c r="AC51">
        <f>AA51-AB51</f>
        <v>0</v>
      </c>
      <c r="AD51">
        <f>X51*3+Y51</f>
        <v>0</v>
      </c>
    </row>
    <row r="52" spans="2:30">
      <c r="B52" s="4" t="str">
        <v>Netherlands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4" t="s">
        <v>146</v>
      </c>
      <c r="V52" t="s">
        <v>84</v>
      </c>
      <c r="W52">
        <f>COUNTIFS(tPartidos[Jugado],"Sí",tPartidos[EquipoLocal],V52)+COUNTIFS(tPartidos[Jugado],"Sí",tPartidos[EquipoVisita],V52)</f>
        <v>0</v>
      </c>
      <c r="X52">
        <f>SUMPRODUCT((tPartidos[Jugado]="Sí")*(tPartidos[EquipoLocal]=V52)*(tPartidos[GL_Real]&gt;tPartidos[GV_Real]))+SUMPRODUCT((tPartidos[Jugado]="Sí")*(tPartidos[EquipoVisita]=V52)*(tPartidos[GV_Real]&gt;tPartidos[GL_Real]))</f>
        <v>0</v>
      </c>
      <c r="Y52">
        <f>SUMPRODUCT((tPartidos[Jugado]="Sí")*((tPartidos[EquipoLocal]=V52)+(tPartidos[EquipoVisita]=V52))*(tPartidos[GL_Real]=tPartidos[GV_Real]))</f>
        <v>0</v>
      </c>
      <c r="Z52">
        <f>W52-X52-Y52</f>
        <v>0</v>
      </c>
      <c r="AA52">
        <f>SUMIFS(tPartidos[GL_Real],tPartidos[Jugado],"Sí",tPartidos[EquipoLocal],V52)+SUMIFS(tPartidos[GV_Real],tPartidos[Jugado],"Sí",tPartidos[EquipoVisita],V52)</f>
        <v>0</v>
      </c>
      <c r="AB52">
        <f>SUMIFS(tPartidos[GV_Real],tPartidos[Jugado],"Sí",tPartidos[EquipoLocal],V52)+SUMIFS(tPartidos[GL_Real],tPartidos[Jugado],"Sí",tPartidos[EquipoVisita],V52)</f>
        <v>0</v>
      </c>
      <c r="AC52">
        <f>AA52-AB52</f>
        <v>0</v>
      </c>
      <c r="AD52">
        <f>X52*3+Y52</f>
        <v>0</v>
      </c>
    </row>
    <row r="53" spans="2:30">
      <c r="B53" s="4" t="str">
        <v>Sweden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4" t="str">
        <f>IF(ISNUMBER(MATCH($B53,$P$16:$P$23,0)),"3°","")</f>
        <v>3°</v>
      </c>
      <c r="V53" t="s">
        <v>90</v>
      </c>
      <c r="W53">
        <f>COUNTIFS(tPartidos[Jugado],"Sí",tPartidos[EquipoLocal],V53)+COUNTIFS(tPartidos[Jugado],"Sí",tPartidos[EquipoVisita],V53)</f>
        <v>0</v>
      </c>
      <c r="X53">
        <f>SUMPRODUCT((tPartidos[Jugado]="Sí")*(tPartidos[EquipoLocal]=V53)*(tPartidos[GL_Real]&gt;tPartidos[GV_Real]))+SUMPRODUCT((tPartidos[Jugado]="Sí")*(tPartidos[EquipoVisita]=V53)*(tPartidos[GV_Real]&gt;tPartidos[GL_Real]))</f>
        <v>0</v>
      </c>
      <c r="Y53">
        <f>SUMPRODUCT((tPartidos[Jugado]="Sí")*((tPartidos[EquipoLocal]=V53)+(tPartidos[EquipoVisita]=V53))*(tPartidos[GL_Real]=tPartidos[GV_Real]))</f>
        <v>0</v>
      </c>
      <c r="Z53">
        <f>W53-X53-Y53</f>
        <v>0</v>
      </c>
      <c r="AA53">
        <f>SUMIFS(tPartidos[GL_Real],tPartidos[Jugado],"Sí",tPartidos[EquipoLocal],V53)+SUMIFS(tPartidos[GV_Real],tPartidos[Jugado],"Sí",tPartidos[EquipoVisita],V53)</f>
        <v>0</v>
      </c>
      <c r="AB53">
        <f>SUMIFS(tPartidos[GV_Real],tPartidos[Jugado],"Sí",tPartidos[EquipoLocal],V53)+SUMIFS(tPartidos[GL_Real],tPartidos[Jugado],"Sí",tPartidos[EquipoVisita],V53)</f>
        <v>0</v>
      </c>
      <c r="AC53">
        <f>AA53-AB53</f>
        <v>0</v>
      </c>
      <c r="AD53">
        <f>X53*3+Y53</f>
        <v>0</v>
      </c>
    </row>
    <row r="54" spans="2:30">
      <c r="B54" s="4" t="str">
        <v>Tunisia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4"/>
      <c r="V54" t="s">
        <v>91</v>
      </c>
      <c r="W54">
        <f>COUNTIFS(tPartidos[Jugado],"Sí",tPartidos[EquipoLocal],V54)+COUNTIFS(tPartidos[Jugado],"Sí",tPartidos[EquipoVisita],V54)</f>
        <v>0</v>
      </c>
      <c r="X54">
        <f>SUMPRODUCT((tPartidos[Jugado]="Sí")*(tPartidos[EquipoLocal]=V54)*(tPartidos[GL_Real]&gt;tPartidos[GV_Real]))+SUMPRODUCT((tPartidos[Jugado]="Sí")*(tPartidos[EquipoVisita]=V54)*(tPartidos[GV_Real]&gt;tPartidos[GL_Real]))</f>
        <v>0</v>
      </c>
      <c r="Y54">
        <f>SUMPRODUCT((tPartidos[Jugado]="Sí")*((tPartidos[EquipoLocal]=V54)+(tPartidos[EquipoVisita]=V54))*(tPartidos[GL_Real]=tPartidos[GV_Real]))</f>
        <v>0</v>
      </c>
      <c r="Z54">
        <f>W54-X54-Y54</f>
        <v>0</v>
      </c>
      <c r="AA54">
        <f>SUMIFS(tPartidos[GL_Real],tPartidos[Jugado],"Sí",tPartidos[EquipoLocal],V54)+SUMIFS(tPartidos[GV_Real],tPartidos[Jugado],"Sí",tPartidos[EquipoVisita],V54)</f>
        <v>0</v>
      </c>
      <c r="AB54">
        <f>SUMIFS(tPartidos[GV_Real],tPartidos[Jugado],"Sí",tPartidos[EquipoLocal],V54)+SUMIFS(tPartidos[GL_Real],tPartidos[Jugado],"Sí",tPartidos[EquipoVisita],V54)</f>
        <v>0</v>
      </c>
      <c r="AC54">
        <f>AA54-AB54</f>
        <v>0</v>
      </c>
      <c r="AD54">
        <f>X54*3+Y54</f>
        <v>0</v>
      </c>
    </row>
    <row r="56" spans="2:30" ht="15.6" customHeight="1">
      <c r="B56" s="10" t="s">
        <v>152</v>
      </c>
    </row>
    <row r="57" spans="2:30">
      <c r="B57" s="28" t="s">
        <v>134</v>
      </c>
      <c r="C57" s="28" t="s">
        <v>141</v>
      </c>
      <c r="D57" s="28" t="s">
        <v>97</v>
      </c>
      <c r="E57" s="28" t="s">
        <v>79</v>
      </c>
      <c r="F57" s="28" t="s">
        <v>142</v>
      </c>
      <c r="G57" s="28" t="s">
        <v>137</v>
      </c>
      <c r="H57" s="28" t="s">
        <v>143</v>
      </c>
      <c r="I57" s="28" t="s">
        <v>136</v>
      </c>
      <c r="J57" s="28" t="s">
        <v>135</v>
      </c>
      <c r="K57" s="28" t="s">
        <v>144</v>
      </c>
    </row>
    <row r="58" spans="2:30">
      <c r="B58" s="4" t="str">
        <f t="array" ref="B58:J61">_xlfn.SORTBY(V58:AD61,AD58:AD61,-1,AC58:AC61,-1,AA58:AA61,-1)</f>
        <v>Belgium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4" t="s">
        <v>146</v>
      </c>
      <c r="V58" t="s">
        <v>98</v>
      </c>
      <c r="W58">
        <f>COUNTIFS(tPartidos[Jugado],"Sí",tPartidos[EquipoLocal],V58)+COUNTIFS(tPartidos[Jugado],"Sí",tPartidos[EquipoVisita],V58)</f>
        <v>0</v>
      </c>
      <c r="X58">
        <f>SUMPRODUCT((tPartidos[Jugado]="Sí")*(tPartidos[EquipoLocal]=V58)*(tPartidos[GL_Real]&gt;tPartidos[GV_Real]))+SUMPRODUCT((tPartidos[Jugado]="Sí")*(tPartidos[EquipoVisita]=V58)*(tPartidos[GV_Real]&gt;tPartidos[GL_Real]))</f>
        <v>0</v>
      </c>
      <c r="Y58">
        <f>SUMPRODUCT((tPartidos[Jugado]="Sí")*((tPartidos[EquipoLocal]=V58)+(tPartidos[EquipoVisita]=V58))*(tPartidos[GL_Real]=tPartidos[GV_Real]))</f>
        <v>0</v>
      </c>
      <c r="Z58">
        <f>W58-X58-Y58</f>
        <v>0</v>
      </c>
      <c r="AA58">
        <f>SUMIFS(tPartidos[GL_Real],tPartidos[Jugado],"Sí",tPartidos[EquipoLocal],V58)+SUMIFS(tPartidos[GV_Real],tPartidos[Jugado],"Sí",tPartidos[EquipoVisita],V58)</f>
        <v>0</v>
      </c>
      <c r="AB58">
        <f>SUMIFS(tPartidos[GV_Real],tPartidos[Jugado],"Sí",tPartidos[EquipoLocal],V58)+SUMIFS(tPartidos[GL_Real],tPartidos[Jugado],"Sí",tPartidos[EquipoVisita],V58)</f>
        <v>0</v>
      </c>
      <c r="AC58">
        <f>AA58-AB58</f>
        <v>0</v>
      </c>
      <c r="AD58">
        <f>X58*3+Y58</f>
        <v>0</v>
      </c>
    </row>
    <row r="59" spans="2:30">
      <c r="B59" s="4" t="str">
        <v>Egypt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4" t="s">
        <v>146</v>
      </c>
      <c r="V59" t="s">
        <v>99</v>
      </c>
      <c r="W59">
        <f>COUNTIFS(tPartidos[Jugado],"Sí",tPartidos[EquipoLocal],V59)+COUNTIFS(tPartidos[Jugado],"Sí",tPartidos[EquipoVisita],V59)</f>
        <v>0</v>
      </c>
      <c r="X59">
        <f>SUMPRODUCT((tPartidos[Jugado]="Sí")*(tPartidos[EquipoLocal]=V59)*(tPartidos[GL_Real]&gt;tPartidos[GV_Real]))+SUMPRODUCT((tPartidos[Jugado]="Sí")*(tPartidos[EquipoVisita]=V59)*(tPartidos[GV_Real]&gt;tPartidos[GL_Real]))</f>
        <v>0</v>
      </c>
      <c r="Y59">
        <f>SUMPRODUCT((tPartidos[Jugado]="Sí")*((tPartidos[EquipoLocal]=V59)+(tPartidos[EquipoVisita]=V59))*(tPartidos[GL_Real]=tPartidos[GV_Real]))</f>
        <v>0</v>
      </c>
      <c r="Z59">
        <f>W59-X59-Y59</f>
        <v>0</v>
      </c>
      <c r="AA59">
        <f>SUMIFS(tPartidos[GL_Real],tPartidos[Jugado],"Sí",tPartidos[EquipoLocal],V59)+SUMIFS(tPartidos[GV_Real],tPartidos[Jugado],"Sí",tPartidos[EquipoVisita],V59)</f>
        <v>0</v>
      </c>
      <c r="AB59">
        <f>SUMIFS(tPartidos[GV_Real],tPartidos[Jugado],"Sí",tPartidos[EquipoLocal],V59)+SUMIFS(tPartidos[GL_Real],tPartidos[Jugado],"Sí",tPartidos[EquipoVisita],V59)</f>
        <v>0</v>
      </c>
      <c r="AC59">
        <f>AA59-AB59</f>
        <v>0</v>
      </c>
      <c r="AD59">
        <f>X59*3+Y59</f>
        <v>0</v>
      </c>
    </row>
    <row r="60" spans="2:30">
      <c r="B60" s="4" t="str">
        <v>Iran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4" t="str">
        <f>IF(ISNUMBER(MATCH($B60,$P$16:$P$23,0)),"3°","")</f>
        <v>3°</v>
      </c>
      <c r="V60" t="s">
        <v>104</v>
      </c>
      <c r="W60">
        <f>COUNTIFS(tPartidos[Jugado],"Sí",tPartidos[EquipoLocal],V60)+COUNTIFS(tPartidos[Jugado],"Sí",tPartidos[EquipoVisita],V60)</f>
        <v>0</v>
      </c>
      <c r="X60">
        <f>SUMPRODUCT((tPartidos[Jugado]="Sí")*(tPartidos[EquipoLocal]=V60)*(tPartidos[GL_Real]&gt;tPartidos[GV_Real]))+SUMPRODUCT((tPartidos[Jugado]="Sí")*(tPartidos[EquipoVisita]=V60)*(tPartidos[GV_Real]&gt;tPartidos[GL_Real]))</f>
        <v>0</v>
      </c>
      <c r="Y60">
        <f>SUMPRODUCT((tPartidos[Jugado]="Sí")*((tPartidos[EquipoLocal]=V60)+(tPartidos[EquipoVisita]=V60))*(tPartidos[GL_Real]=tPartidos[GV_Real]))</f>
        <v>0</v>
      </c>
      <c r="Z60">
        <f>W60-X60-Y60</f>
        <v>0</v>
      </c>
      <c r="AA60">
        <f>SUMIFS(tPartidos[GL_Real],tPartidos[Jugado],"Sí",tPartidos[EquipoLocal],V60)+SUMIFS(tPartidos[GV_Real],tPartidos[Jugado],"Sí",tPartidos[EquipoVisita],V60)</f>
        <v>0</v>
      </c>
      <c r="AB60">
        <f>SUMIFS(tPartidos[GV_Real],tPartidos[Jugado],"Sí",tPartidos[EquipoLocal],V60)+SUMIFS(tPartidos[GL_Real],tPartidos[Jugado],"Sí",tPartidos[EquipoVisita],V60)</f>
        <v>0</v>
      </c>
      <c r="AC60">
        <f>AA60-AB60</f>
        <v>0</v>
      </c>
      <c r="AD60">
        <f>X60*3+Y60</f>
        <v>0</v>
      </c>
    </row>
    <row r="61" spans="2:30">
      <c r="B61" s="4" t="str">
        <v>New Zealand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4"/>
      <c r="V61" t="s">
        <v>105</v>
      </c>
      <c r="W61">
        <f>COUNTIFS(tPartidos[Jugado],"Sí",tPartidos[EquipoLocal],V61)+COUNTIFS(tPartidos[Jugado],"Sí",tPartidos[EquipoVisita],V61)</f>
        <v>0</v>
      </c>
      <c r="X61">
        <f>SUMPRODUCT((tPartidos[Jugado]="Sí")*(tPartidos[EquipoLocal]=V61)*(tPartidos[GL_Real]&gt;tPartidos[GV_Real]))+SUMPRODUCT((tPartidos[Jugado]="Sí")*(tPartidos[EquipoVisita]=V61)*(tPartidos[GV_Real]&gt;tPartidos[GL_Real]))</f>
        <v>0</v>
      </c>
      <c r="Y61">
        <f>SUMPRODUCT((tPartidos[Jugado]="Sí")*((tPartidos[EquipoLocal]=V61)+(tPartidos[EquipoVisita]=V61))*(tPartidos[GL_Real]=tPartidos[GV_Real]))</f>
        <v>0</v>
      </c>
      <c r="Z61">
        <f>W61-X61-Y61</f>
        <v>0</v>
      </c>
      <c r="AA61">
        <f>SUMIFS(tPartidos[GL_Real],tPartidos[Jugado],"Sí",tPartidos[EquipoLocal],V61)+SUMIFS(tPartidos[GV_Real],tPartidos[Jugado],"Sí",tPartidos[EquipoVisita],V61)</f>
        <v>0</v>
      </c>
      <c r="AB61">
        <f>SUMIFS(tPartidos[GV_Real],tPartidos[Jugado],"Sí",tPartidos[EquipoLocal],V61)+SUMIFS(tPartidos[GL_Real],tPartidos[Jugado],"Sí",tPartidos[EquipoVisita],V61)</f>
        <v>0</v>
      </c>
      <c r="AC61">
        <f>AA61-AB61</f>
        <v>0</v>
      </c>
      <c r="AD61">
        <f>X61*3+Y61</f>
        <v>0</v>
      </c>
    </row>
    <row r="63" spans="2:30" ht="15.6" customHeight="1">
      <c r="B63" s="10" t="s">
        <v>153</v>
      </c>
    </row>
    <row r="64" spans="2:30">
      <c r="B64" s="28" t="s">
        <v>134</v>
      </c>
      <c r="C64" s="28" t="s">
        <v>141</v>
      </c>
      <c r="D64" s="28" t="s">
        <v>97</v>
      </c>
      <c r="E64" s="28" t="s">
        <v>79</v>
      </c>
      <c r="F64" s="28" t="s">
        <v>142</v>
      </c>
      <c r="G64" s="28" t="s">
        <v>137</v>
      </c>
      <c r="H64" s="28" t="s">
        <v>143</v>
      </c>
      <c r="I64" s="28" t="s">
        <v>136</v>
      </c>
      <c r="J64" s="28" t="s">
        <v>135</v>
      </c>
      <c r="K64" s="28" t="s">
        <v>144</v>
      </c>
    </row>
    <row r="65" spans="2:30">
      <c r="B65" s="4" t="str">
        <f t="array" ref="B65:J68">_xlfn.SORTBY(V65:AD68,AD65:AD68,-1,AC65:AC68,-1,AA65:AA68,-1)</f>
        <v>Cape Verde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4" t="s">
        <v>146</v>
      </c>
      <c r="V65" t="s">
        <v>95</v>
      </c>
      <c r="W65">
        <f>COUNTIFS(tPartidos[Jugado],"Sí",tPartidos[EquipoLocal],V65)+COUNTIFS(tPartidos[Jugado],"Sí",tPartidos[EquipoVisita],V65)</f>
        <v>0</v>
      </c>
      <c r="X65">
        <f>SUMPRODUCT((tPartidos[Jugado]="Sí")*(tPartidos[EquipoLocal]=V65)*(tPartidos[GL_Real]&gt;tPartidos[GV_Real]))+SUMPRODUCT((tPartidos[Jugado]="Sí")*(tPartidos[EquipoVisita]=V65)*(tPartidos[GV_Real]&gt;tPartidos[GL_Real]))</f>
        <v>0</v>
      </c>
      <c r="Y65">
        <f>SUMPRODUCT((tPartidos[Jugado]="Sí")*((tPartidos[EquipoLocal]=V65)+(tPartidos[EquipoVisita]=V65))*(tPartidos[GL_Real]=tPartidos[GV_Real]))</f>
        <v>0</v>
      </c>
      <c r="Z65">
        <f>W65-X65-Y65</f>
        <v>0</v>
      </c>
      <c r="AA65">
        <f>SUMIFS(tPartidos[GL_Real],tPartidos[Jugado],"Sí",tPartidos[EquipoLocal],V65)+SUMIFS(tPartidos[GV_Real],tPartidos[Jugado],"Sí",tPartidos[EquipoVisita],V65)</f>
        <v>0</v>
      </c>
      <c r="AB65">
        <f>SUMIFS(tPartidos[GV_Real],tPartidos[Jugado],"Sí",tPartidos[EquipoLocal],V65)+SUMIFS(tPartidos[GL_Real],tPartidos[Jugado],"Sí",tPartidos[EquipoVisita],V65)</f>
        <v>0</v>
      </c>
      <c r="AC65">
        <f>AA65-AB65</f>
        <v>0</v>
      </c>
      <c r="AD65">
        <f>X65*3+Y65</f>
        <v>0</v>
      </c>
    </row>
    <row r="66" spans="2:30">
      <c r="B66" s="4" t="str">
        <v>Saudi Arabia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4" t="s">
        <v>146</v>
      </c>
      <c r="V66" t="s">
        <v>101</v>
      </c>
      <c r="W66">
        <f>COUNTIFS(tPartidos[Jugado],"Sí",tPartidos[EquipoLocal],V66)+COUNTIFS(tPartidos[Jugado],"Sí",tPartidos[EquipoVisita],V66)</f>
        <v>0</v>
      </c>
      <c r="X66">
        <f>SUMPRODUCT((tPartidos[Jugado]="Sí")*(tPartidos[EquipoLocal]=V66)*(tPartidos[GL_Real]&gt;tPartidos[GV_Real]))+SUMPRODUCT((tPartidos[Jugado]="Sí")*(tPartidos[EquipoVisita]=V66)*(tPartidos[GV_Real]&gt;tPartidos[GL_Real]))</f>
        <v>0</v>
      </c>
      <c r="Y66">
        <f>SUMPRODUCT((tPartidos[Jugado]="Sí")*((tPartidos[EquipoLocal]=V66)+(tPartidos[EquipoVisita]=V66))*(tPartidos[GL_Real]=tPartidos[GV_Real]))</f>
        <v>0</v>
      </c>
      <c r="Z66">
        <f>W66-X66-Y66</f>
        <v>0</v>
      </c>
      <c r="AA66">
        <f>SUMIFS(tPartidos[GL_Real],tPartidos[Jugado],"Sí",tPartidos[EquipoLocal],V66)+SUMIFS(tPartidos[GV_Real],tPartidos[Jugado],"Sí",tPartidos[EquipoVisita],V66)</f>
        <v>0</v>
      </c>
      <c r="AB66">
        <f>SUMIFS(tPartidos[GV_Real],tPartidos[Jugado],"Sí",tPartidos[EquipoLocal],V66)+SUMIFS(tPartidos[GL_Real],tPartidos[Jugado],"Sí",tPartidos[EquipoVisita],V66)</f>
        <v>0</v>
      </c>
      <c r="AC66">
        <f>AA66-AB66</f>
        <v>0</v>
      </c>
      <c r="AD66">
        <f>X66*3+Y66</f>
        <v>0</v>
      </c>
    </row>
    <row r="67" spans="2:30">
      <c r="B67" s="4" t="str">
        <v>Spain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4" t="str">
        <f>IF(ISNUMBER(MATCH($B67,$P$16:$P$23,0)),"3°","")</f>
        <v>3°</v>
      </c>
      <c r="V67" t="s">
        <v>94</v>
      </c>
      <c r="W67">
        <f>COUNTIFS(tPartidos[Jugado],"Sí",tPartidos[EquipoLocal],V67)+COUNTIFS(tPartidos[Jugado],"Sí",tPartidos[EquipoVisita],V67)</f>
        <v>0</v>
      </c>
      <c r="X67">
        <f>SUMPRODUCT((tPartidos[Jugado]="Sí")*(tPartidos[EquipoLocal]=V67)*(tPartidos[GL_Real]&gt;tPartidos[GV_Real]))+SUMPRODUCT((tPartidos[Jugado]="Sí")*(tPartidos[EquipoVisita]=V67)*(tPartidos[GV_Real]&gt;tPartidos[GL_Real]))</f>
        <v>0</v>
      </c>
      <c r="Y67">
        <f>SUMPRODUCT((tPartidos[Jugado]="Sí")*((tPartidos[EquipoLocal]=V67)+(tPartidos[EquipoVisita]=V67))*(tPartidos[GL_Real]=tPartidos[GV_Real]))</f>
        <v>0</v>
      </c>
      <c r="Z67">
        <f>W67-X67-Y67</f>
        <v>0</v>
      </c>
      <c r="AA67">
        <f>SUMIFS(tPartidos[GL_Real],tPartidos[Jugado],"Sí",tPartidos[EquipoLocal],V67)+SUMIFS(tPartidos[GV_Real],tPartidos[Jugado],"Sí",tPartidos[EquipoVisita],V67)</f>
        <v>0</v>
      </c>
      <c r="AB67">
        <f>SUMIFS(tPartidos[GV_Real],tPartidos[Jugado],"Sí",tPartidos[EquipoLocal],V67)+SUMIFS(tPartidos[GL_Real],tPartidos[Jugado],"Sí",tPartidos[EquipoVisita],V67)</f>
        <v>0</v>
      </c>
      <c r="AC67">
        <f>AA67-AB67</f>
        <v>0</v>
      </c>
      <c r="AD67">
        <f>X67*3+Y67</f>
        <v>0</v>
      </c>
    </row>
    <row r="68" spans="2:30">
      <c r="B68" s="4" t="str">
        <v>Uruguay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4"/>
      <c r="V68" t="s">
        <v>102</v>
      </c>
      <c r="W68">
        <f>COUNTIFS(tPartidos[Jugado],"Sí",tPartidos[EquipoLocal],V68)+COUNTIFS(tPartidos[Jugado],"Sí",tPartidos[EquipoVisita],V68)</f>
        <v>0</v>
      </c>
      <c r="X68">
        <f>SUMPRODUCT((tPartidos[Jugado]="Sí")*(tPartidos[EquipoLocal]=V68)*(tPartidos[GL_Real]&gt;tPartidos[GV_Real]))+SUMPRODUCT((tPartidos[Jugado]="Sí")*(tPartidos[EquipoVisita]=V68)*(tPartidos[GV_Real]&gt;tPartidos[GL_Real]))</f>
        <v>0</v>
      </c>
      <c r="Y68">
        <f>SUMPRODUCT((tPartidos[Jugado]="Sí")*((tPartidos[EquipoLocal]=V68)+(tPartidos[EquipoVisita]=V68))*(tPartidos[GL_Real]=tPartidos[GV_Real]))</f>
        <v>0</v>
      </c>
      <c r="Z68">
        <f>W68-X68-Y68</f>
        <v>0</v>
      </c>
      <c r="AA68">
        <f>SUMIFS(tPartidos[GL_Real],tPartidos[Jugado],"Sí",tPartidos[EquipoLocal],V68)+SUMIFS(tPartidos[GV_Real],tPartidos[Jugado],"Sí",tPartidos[EquipoVisita],V68)</f>
        <v>0</v>
      </c>
      <c r="AB68">
        <f>SUMIFS(tPartidos[GV_Real],tPartidos[Jugado],"Sí",tPartidos[EquipoLocal],V68)+SUMIFS(tPartidos[GL_Real],tPartidos[Jugado],"Sí",tPartidos[EquipoVisita],V68)</f>
        <v>0</v>
      </c>
      <c r="AC68">
        <f>AA68-AB68</f>
        <v>0</v>
      </c>
      <c r="AD68">
        <f>X68*3+Y68</f>
        <v>0</v>
      </c>
    </row>
    <row r="70" spans="2:30" ht="15.6" customHeight="1">
      <c r="B70" s="10" t="s">
        <v>154</v>
      </c>
    </row>
    <row r="71" spans="2:30">
      <c r="B71" s="28" t="s">
        <v>134</v>
      </c>
      <c r="C71" s="28" t="s">
        <v>141</v>
      </c>
      <c r="D71" s="28" t="s">
        <v>97</v>
      </c>
      <c r="E71" s="28" t="s">
        <v>79</v>
      </c>
      <c r="F71" s="28" t="s">
        <v>142</v>
      </c>
      <c r="G71" s="28" t="s">
        <v>137</v>
      </c>
      <c r="H71" s="28" t="s">
        <v>143</v>
      </c>
      <c r="I71" s="28" t="s">
        <v>136</v>
      </c>
      <c r="J71" s="28" t="s">
        <v>135</v>
      </c>
      <c r="K71" s="28" t="s">
        <v>144</v>
      </c>
    </row>
    <row r="72" spans="2:30">
      <c r="B72" s="4" t="str">
        <f t="array" ref="B72:J75">_xlfn.SORTBY(V72:AD75,AD72:AD75,-1,AC72:AC75,-1,AA72:AA75,-1)</f>
        <v>France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4" t="s">
        <v>146</v>
      </c>
      <c r="V72" t="s">
        <v>107</v>
      </c>
      <c r="W72">
        <f>COUNTIFS(tPartidos[Jugado],"Sí",tPartidos[EquipoLocal],V72)+COUNTIFS(tPartidos[Jugado],"Sí",tPartidos[EquipoVisita],V72)</f>
        <v>0</v>
      </c>
      <c r="X72">
        <f>SUMPRODUCT((tPartidos[Jugado]="Sí")*(tPartidos[EquipoLocal]=V72)*(tPartidos[GL_Real]&gt;tPartidos[GV_Real]))+SUMPRODUCT((tPartidos[Jugado]="Sí")*(tPartidos[EquipoVisita]=V72)*(tPartidos[GV_Real]&gt;tPartidos[GL_Real]))</f>
        <v>0</v>
      </c>
      <c r="Y72">
        <f>SUMPRODUCT((tPartidos[Jugado]="Sí")*((tPartidos[EquipoLocal]=V72)+(tPartidos[EquipoVisita]=V72))*(tPartidos[GL_Real]=tPartidos[GV_Real]))</f>
        <v>0</v>
      </c>
      <c r="Z72">
        <f>W72-X72-Y72</f>
        <v>0</v>
      </c>
      <c r="AA72">
        <f>SUMIFS(tPartidos[GL_Real],tPartidos[Jugado],"Sí",tPartidos[EquipoLocal],V72)+SUMIFS(tPartidos[GV_Real],tPartidos[Jugado],"Sí",tPartidos[EquipoVisita],V72)</f>
        <v>0</v>
      </c>
      <c r="AB72">
        <f>SUMIFS(tPartidos[GV_Real],tPartidos[Jugado],"Sí",tPartidos[EquipoLocal],V72)+SUMIFS(tPartidos[GL_Real],tPartidos[Jugado],"Sí",tPartidos[EquipoVisita],V72)</f>
        <v>0</v>
      </c>
      <c r="AC72">
        <f>AA72-AB72</f>
        <v>0</v>
      </c>
      <c r="AD72">
        <f>X72*3+Y72</f>
        <v>0</v>
      </c>
    </row>
    <row r="73" spans="2:30">
      <c r="B73" s="4" t="str">
        <v>Iraq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4" t="s">
        <v>146</v>
      </c>
      <c r="V73" t="s">
        <v>109</v>
      </c>
      <c r="W73">
        <f>COUNTIFS(tPartidos[Jugado],"Sí",tPartidos[EquipoLocal],V73)+COUNTIFS(tPartidos[Jugado],"Sí",tPartidos[EquipoVisita],V73)</f>
        <v>0</v>
      </c>
      <c r="X73">
        <f>SUMPRODUCT((tPartidos[Jugado]="Sí")*(tPartidos[EquipoLocal]=V73)*(tPartidos[GL_Real]&gt;tPartidos[GV_Real]))+SUMPRODUCT((tPartidos[Jugado]="Sí")*(tPartidos[EquipoVisita]=V73)*(tPartidos[GV_Real]&gt;tPartidos[GL_Real]))</f>
        <v>0</v>
      </c>
      <c r="Y73">
        <f>SUMPRODUCT((tPartidos[Jugado]="Sí")*((tPartidos[EquipoLocal]=V73)+(tPartidos[EquipoVisita]=V73))*(tPartidos[GL_Real]=tPartidos[GV_Real]))</f>
        <v>0</v>
      </c>
      <c r="Z73">
        <f>W73-X73-Y73</f>
        <v>0</v>
      </c>
      <c r="AA73">
        <f>SUMIFS(tPartidos[GL_Real],tPartidos[Jugado],"Sí",tPartidos[EquipoLocal],V73)+SUMIFS(tPartidos[GV_Real],tPartidos[Jugado],"Sí",tPartidos[EquipoVisita],V73)</f>
        <v>0</v>
      </c>
      <c r="AB73">
        <f>SUMIFS(tPartidos[GV_Real],tPartidos[Jugado],"Sí",tPartidos[EquipoLocal],V73)+SUMIFS(tPartidos[GL_Real],tPartidos[Jugado],"Sí",tPartidos[EquipoVisita],V73)</f>
        <v>0</v>
      </c>
      <c r="AC73">
        <f>AA73-AB73</f>
        <v>0</v>
      </c>
      <c r="AD73">
        <f>X73*3+Y73</f>
        <v>0</v>
      </c>
    </row>
    <row r="74" spans="2:30">
      <c r="B74" s="4" t="str">
        <v>Norway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4" t="str">
        <f>IF(ISNUMBER(MATCH($B74,$P$16:$P$23,0)),"3°","")</f>
        <v/>
      </c>
      <c r="V74" t="s">
        <v>110</v>
      </c>
      <c r="W74">
        <f>COUNTIFS(tPartidos[Jugado],"Sí",tPartidos[EquipoLocal],V74)+COUNTIFS(tPartidos[Jugado],"Sí",tPartidos[EquipoVisita],V74)</f>
        <v>0</v>
      </c>
      <c r="X74">
        <f>SUMPRODUCT((tPartidos[Jugado]="Sí")*(tPartidos[EquipoLocal]=V74)*(tPartidos[GL_Real]&gt;tPartidos[GV_Real]))+SUMPRODUCT((tPartidos[Jugado]="Sí")*(tPartidos[EquipoVisita]=V74)*(tPartidos[GV_Real]&gt;tPartidos[GL_Real]))</f>
        <v>0</v>
      </c>
      <c r="Y74">
        <f>SUMPRODUCT((tPartidos[Jugado]="Sí")*((tPartidos[EquipoLocal]=V74)+(tPartidos[EquipoVisita]=V74))*(tPartidos[GL_Real]=tPartidos[GV_Real]))</f>
        <v>0</v>
      </c>
      <c r="Z74">
        <f>W74-X74-Y74</f>
        <v>0</v>
      </c>
      <c r="AA74">
        <f>SUMIFS(tPartidos[GL_Real],tPartidos[Jugado],"Sí",tPartidos[EquipoLocal],V74)+SUMIFS(tPartidos[GV_Real],tPartidos[Jugado],"Sí",tPartidos[EquipoVisita],V74)</f>
        <v>0</v>
      </c>
      <c r="AB74">
        <f>SUMIFS(tPartidos[GV_Real],tPartidos[Jugado],"Sí",tPartidos[EquipoLocal],V74)+SUMIFS(tPartidos[GL_Real],tPartidos[Jugado],"Sí",tPartidos[EquipoVisita],V74)</f>
        <v>0</v>
      </c>
      <c r="AC74">
        <f>AA74-AB74</f>
        <v>0</v>
      </c>
      <c r="AD74">
        <f>X74*3+Y74</f>
        <v>0</v>
      </c>
    </row>
    <row r="75" spans="2:30">
      <c r="B75" s="4" t="str">
        <v>Senegal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4"/>
      <c r="V75" t="s">
        <v>108</v>
      </c>
      <c r="W75">
        <f>COUNTIFS(tPartidos[Jugado],"Sí",tPartidos[EquipoLocal],V75)+COUNTIFS(tPartidos[Jugado],"Sí",tPartidos[EquipoVisita],V75)</f>
        <v>0</v>
      </c>
      <c r="X75">
        <f>SUMPRODUCT((tPartidos[Jugado]="Sí")*(tPartidos[EquipoLocal]=V75)*(tPartidos[GL_Real]&gt;tPartidos[GV_Real]))+SUMPRODUCT((tPartidos[Jugado]="Sí")*(tPartidos[EquipoVisita]=V75)*(tPartidos[GV_Real]&gt;tPartidos[GL_Real]))</f>
        <v>0</v>
      </c>
      <c r="Y75">
        <f>SUMPRODUCT((tPartidos[Jugado]="Sí")*((tPartidos[EquipoLocal]=V75)+(tPartidos[EquipoVisita]=V75))*(tPartidos[GL_Real]=tPartidos[GV_Real]))</f>
        <v>0</v>
      </c>
      <c r="Z75">
        <f>W75-X75-Y75</f>
        <v>0</v>
      </c>
      <c r="AA75">
        <f>SUMIFS(tPartidos[GL_Real],tPartidos[Jugado],"Sí",tPartidos[EquipoLocal],V75)+SUMIFS(tPartidos[GV_Real],tPartidos[Jugado],"Sí",tPartidos[EquipoVisita],V75)</f>
        <v>0</v>
      </c>
      <c r="AB75">
        <f>SUMIFS(tPartidos[GV_Real],tPartidos[Jugado],"Sí",tPartidos[EquipoLocal],V75)+SUMIFS(tPartidos[GL_Real],tPartidos[Jugado],"Sí",tPartidos[EquipoVisita],V75)</f>
        <v>0</v>
      </c>
      <c r="AC75">
        <f>AA75-AB75</f>
        <v>0</v>
      </c>
      <c r="AD75">
        <f>X75*3+Y75</f>
        <v>0</v>
      </c>
    </row>
    <row r="77" spans="2:30" ht="15.6" customHeight="1">
      <c r="B77" s="10" t="s">
        <v>155</v>
      </c>
    </row>
    <row r="78" spans="2:30">
      <c r="B78" s="28" t="s">
        <v>134</v>
      </c>
      <c r="C78" s="28" t="s">
        <v>141</v>
      </c>
      <c r="D78" s="28" t="s">
        <v>97</v>
      </c>
      <c r="E78" s="28" t="s">
        <v>79</v>
      </c>
      <c r="F78" s="28" t="s">
        <v>142</v>
      </c>
      <c r="G78" s="28" t="s">
        <v>137</v>
      </c>
      <c r="H78" s="28" t="s">
        <v>143</v>
      </c>
      <c r="I78" s="28" t="s">
        <v>136</v>
      </c>
      <c r="J78" s="28" t="s">
        <v>135</v>
      </c>
      <c r="K78" s="28" t="s">
        <v>144</v>
      </c>
    </row>
    <row r="79" spans="2:30">
      <c r="B79" s="4" t="str">
        <f t="array" ref="B79:J82">_xlfn.SORTBY(V79:AD82,AD79:AD82,-1,AC79:AC82,-1,AA79:AA82,-1)</f>
        <v>Algeria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4" t="s">
        <v>146</v>
      </c>
      <c r="V79" t="s">
        <v>113</v>
      </c>
      <c r="W79">
        <f>COUNTIFS(tPartidos[Jugado],"Sí",tPartidos[EquipoLocal],V79)+COUNTIFS(tPartidos[Jugado],"Sí",tPartidos[EquipoVisita],V79)</f>
        <v>0</v>
      </c>
      <c r="X79">
        <f>SUMPRODUCT((tPartidos[Jugado]="Sí")*(tPartidos[EquipoLocal]=V79)*(tPartidos[GL_Real]&gt;tPartidos[GV_Real]))+SUMPRODUCT((tPartidos[Jugado]="Sí")*(tPartidos[EquipoVisita]=V79)*(tPartidos[GV_Real]&gt;tPartidos[GL_Real]))</f>
        <v>0</v>
      </c>
      <c r="Y79">
        <f>SUMPRODUCT((tPartidos[Jugado]="Sí")*((tPartidos[EquipoLocal]=V79)+(tPartidos[EquipoVisita]=V79))*(tPartidos[GL_Real]=tPartidos[GV_Real]))</f>
        <v>0</v>
      </c>
      <c r="Z79">
        <f>W79-X79-Y79</f>
        <v>0</v>
      </c>
      <c r="AA79">
        <f>SUMIFS(tPartidos[GL_Real],tPartidos[Jugado],"Sí",tPartidos[EquipoLocal],V79)+SUMIFS(tPartidos[GV_Real],tPartidos[Jugado],"Sí",tPartidos[EquipoVisita],V79)</f>
        <v>0</v>
      </c>
      <c r="AB79">
        <f>SUMIFS(tPartidos[GV_Real],tPartidos[Jugado],"Sí",tPartidos[EquipoLocal],V79)+SUMIFS(tPartidos[GL_Real],tPartidos[Jugado],"Sí",tPartidos[EquipoVisita],V79)</f>
        <v>0</v>
      </c>
      <c r="AC79">
        <f>AA79-AB79</f>
        <v>0</v>
      </c>
      <c r="AD79">
        <f>X79*3+Y79</f>
        <v>0</v>
      </c>
    </row>
    <row r="80" spans="2:30">
      <c r="B80" s="4" t="str">
        <v>Argentina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4" t="s">
        <v>146</v>
      </c>
      <c r="V80" t="s">
        <v>112</v>
      </c>
      <c r="W80">
        <f>COUNTIFS(tPartidos[Jugado],"Sí",tPartidos[EquipoLocal],V80)+COUNTIFS(tPartidos[Jugado],"Sí",tPartidos[EquipoVisita],V80)</f>
        <v>0</v>
      </c>
      <c r="X80">
        <f>SUMPRODUCT((tPartidos[Jugado]="Sí")*(tPartidos[EquipoLocal]=V80)*(tPartidos[GL_Real]&gt;tPartidos[GV_Real]))+SUMPRODUCT((tPartidos[Jugado]="Sí")*(tPartidos[EquipoVisita]=V80)*(tPartidos[GV_Real]&gt;tPartidos[GL_Real]))</f>
        <v>0</v>
      </c>
      <c r="Y80">
        <f>SUMPRODUCT((tPartidos[Jugado]="Sí")*((tPartidos[EquipoLocal]=V80)+(tPartidos[EquipoVisita]=V80))*(tPartidos[GL_Real]=tPartidos[GV_Real]))</f>
        <v>0</v>
      </c>
      <c r="Z80">
        <f>W80-X80-Y80</f>
        <v>0</v>
      </c>
      <c r="AA80">
        <f>SUMIFS(tPartidos[GL_Real],tPartidos[Jugado],"Sí",tPartidos[EquipoLocal],V80)+SUMIFS(tPartidos[GV_Real],tPartidos[Jugado],"Sí",tPartidos[EquipoVisita],V80)</f>
        <v>0</v>
      </c>
      <c r="AB80">
        <f>SUMIFS(tPartidos[GV_Real],tPartidos[Jugado],"Sí",tPartidos[EquipoLocal],V80)+SUMIFS(tPartidos[GL_Real],tPartidos[Jugado],"Sí",tPartidos[EquipoVisita],V80)</f>
        <v>0</v>
      </c>
      <c r="AC80">
        <f>AA80-AB80</f>
        <v>0</v>
      </c>
      <c r="AD80">
        <f>X80*3+Y80</f>
        <v>0</v>
      </c>
    </row>
    <row r="81" spans="2:30">
      <c r="B81" s="4" t="str">
        <v>Austria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4" t="str">
        <f>IF(ISNUMBER(MATCH($B81,$P$16:$P$23,0)),"3°","")</f>
        <v/>
      </c>
      <c r="V81" t="s">
        <v>115</v>
      </c>
      <c r="W81">
        <f>COUNTIFS(tPartidos[Jugado],"Sí",tPartidos[EquipoLocal],V81)+COUNTIFS(tPartidos[Jugado],"Sí",tPartidos[EquipoVisita],V81)</f>
        <v>0</v>
      </c>
      <c r="X81">
        <f>SUMPRODUCT((tPartidos[Jugado]="Sí")*(tPartidos[EquipoLocal]=V81)*(tPartidos[GL_Real]&gt;tPartidos[GV_Real]))+SUMPRODUCT((tPartidos[Jugado]="Sí")*(tPartidos[EquipoVisita]=V81)*(tPartidos[GV_Real]&gt;tPartidos[GL_Real]))</f>
        <v>0</v>
      </c>
      <c r="Y81">
        <f>SUMPRODUCT((tPartidos[Jugado]="Sí")*((tPartidos[EquipoLocal]=V81)+(tPartidos[EquipoVisita]=V81))*(tPartidos[GL_Real]=tPartidos[GV_Real]))</f>
        <v>0</v>
      </c>
      <c r="Z81">
        <f>W81-X81-Y81</f>
        <v>0</v>
      </c>
      <c r="AA81">
        <f>SUMIFS(tPartidos[GL_Real],tPartidos[Jugado],"Sí",tPartidos[EquipoLocal],V81)+SUMIFS(tPartidos[GV_Real],tPartidos[Jugado],"Sí",tPartidos[EquipoVisita],V81)</f>
        <v>0</v>
      </c>
      <c r="AB81">
        <f>SUMIFS(tPartidos[GV_Real],tPartidos[Jugado],"Sí",tPartidos[EquipoLocal],V81)+SUMIFS(tPartidos[GL_Real],tPartidos[Jugado],"Sí",tPartidos[EquipoVisita],V81)</f>
        <v>0</v>
      </c>
      <c r="AC81">
        <f>AA81-AB81</f>
        <v>0</v>
      </c>
      <c r="AD81">
        <f>X81*3+Y81</f>
        <v>0</v>
      </c>
    </row>
    <row r="82" spans="2:30">
      <c r="B82" s="4" t="str">
        <v>Jordan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4"/>
      <c r="V82" t="s">
        <v>116</v>
      </c>
      <c r="W82">
        <f>COUNTIFS(tPartidos[Jugado],"Sí",tPartidos[EquipoLocal],V82)+COUNTIFS(tPartidos[Jugado],"Sí",tPartidos[EquipoVisita],V82)</f>
        <v>0</v>
      </c>
      <c r="X82">
        <f>SUMPRODUCT((tPartidos[Jugado]="Sí")*(tPartidos[EquipoLocal]=V82)*(tPartidos[GL_Real]&gt;tPartidos[GV_Real]))+SUMPRODUCT((tPartidos[Jugado]="Sí")*(tPartidos[EquipoVisita]=V82)*(tPartidos[GV_Real]&gt;tPartidos[GL_Real]))</f>
        <v>0</v>
      </c>
      <c r="Y82">
        <f>SUMPRODUCT((tPartidos[Jugado]="Sí")*((tPartidos[EquipoLocal]=V82)+(tPartidos[EquipoVisita]=V82))*(tPartidos[GL_Real]=tPartidos[GV_Real]))</f>
        <v>0</v>
      </c>
      <c r="Z82">
        <f>W82-X82-Y82</f>
        <v>0</v>
      </c>
      <c r="AA82">
        <f>SUMIFS(tPartidos[GL_Real],tPartidos[Jugado],"Sí",tPartidos[EquipoLocal],V82)+SUMIFS(tPartidos[GV_Real],tPartidos[Jugado],"Sí",tPartidos[EquipoVisita],V82)</f>
        <v>0</v>
      </c>
      <c r="AB82">
        <f>SUMIFS(tPartidos[GV_Real],tPartidos[Jugado],"Sí",tPartidos[EquipoLocal],V82)+SUMIFS(tPartidos[GL_Real],tPartidos[Jugado],"Sí",tPartidos[EquipoVisita],V82)</f>
        <v>0</v>
      </c>
      <c r="AC82">
        <f>AA82-AB82</f>
        <v>0</v>
      </c>
      <c r="AD82">
        <f>X82*3+Y82</f>
        <v>0</v>
      </c>
    </row>
    <row r="84" spans="2:30" ht="15.6" customHeight="1">
      <c r="B84" s="10" t="s">
        <v>156</v>
      </c>
    </row>
    <row r="85" spans="2:30">
      <c r="B85" s="28" t="s">
        <v>134</v>
      </c>
      <c r="C85" s="28" t="s">
        <v>141</v>
      </c>
      <c r="D85" s="28" t="s">
        <v>97</v>
      </c>
      <c r="E85" s="28" t="s">
        <v>79</v>
      </c>
      <c r="F85" s="28" t="s">
        <v>142</v>
      </c>
      <c r="G85" s="28" t="s">
        <v>137</v>
      </c>
      <c r="H85" s="28" t="s">
        <v>143</v>
      </c>
      <c r="I85" s="28" t="s">
        <v>136</v>
      </c>
      <c r="J85" s="28" t="s">
        <v>135</v>
      </c>
      <c r="K85" s="28" t="s">
        <v>144</v>
      </c>
    </row>
    <row r="86" spans="2:30">
      <c r="B86" s="4" t="str">
        <f t="array" ref="B86:J89">_xlfn.SORTBY(V86:AD89,AD86:AD89,-1,AC86:AC89,-1,AA86:AA89,-1)</f>
        <v>Colombia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4" t="s">
        <v>146</v>
      </c>
      <c r="V86" t="s">
        <v>126</v>
      </c>
      <c r="W86">
        <f>COUNTIFS(tPartidos[Jugado],"Sí",tPartidos[EquipoLocal],V86)+COUNTIFS(tPartidos[Jugado],"Sí",tPartidos[EquipoVisita],V86)</f>
        <v>0</v>
      </c>
      <c r="X86">
        <f>SUMPRODUCT((tPartidos[Jugado]="Sí")*(tPartidos[EquipoLocal]=V86)*(tPartidos[GL_Real]&gt;tPartidos[GV_Real]))+SUMPRODUCT((tPartidos[Jugado]="Sí")*(tPartidos[EquipoVisita]=V86)*(tPartidos[GV_Real]&gt;tPartidos[GL_Real]))</f>
        <v>0</v>
      </c>
      <c r="Y86">
        <f>SUMPRODUCT((tPartidos[Jugado]="Sí")*((tPartidos[EquipoLocal]=V86)+(tPartidos[EquipoVisita]=V86))*(tPartidos[GL_Real]=tPartidos[GV_Real]))</f>
        <v>0</v>
      </c>
      <c r="Z86">
        <f>W86-X86-Y86</f>
        <v>0</v>
      </c>
      <c r="AA86">
        <f>SUMIFS(tPartidos[GL_Real],tPartidos[Jugado],"Sí",tPartidos[EquipoLocal],V86)+SUMIFS(tPartidos[GV_Real],tPartidos[Jugado],"Sí",tPartidos[EquipoVisita],V86)</f>
        <v>0</v>
      </c>
      <c r="AB86">
        <f>SUMIFS(tPartidos[GV_Real],tPartidos[Jugado],"Sí",tPartidos[EquipoLocal],V86)+SUMIFS(tPartidos[GL_Real],tPartidos[Jugado],"Sí",tPartidos[EquipoVisita],V86)</f>
        <v>0</v>
      </c>
      <c r="AC86">
        <f>AA86-AB86</f>
        <v>0</v>
      </c>
      <c r="AD86">
        <f>X86*3+Y86</f>
        <v>0</v>
      </c>
    </row>
    <row r="87" spans="2:30">
      <c r="B87" s="4" t="str">
        <v>DR Congo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4" t="s">
        <v>146</v>
      </c>
      <c r="V87" t="s">
        <v>119</v>
      </c>
      <c r="W87">
        <f>COUNTIFS(tPartidos[Jugado],"Sí",tPartidos[EquipoLocal],V87)+COUNTIFS(tPartidos[Jugado],"Sí",tPartidos[EquipoVisita],V87)</f>
        <v>0</v>
      </c>
      <c r="X87">
        <f>SUMPRODUCT((tPartidos[Jugado]="Sí")*(tPartidos[EquipoLocal]=V87)*(tPartidos[GL_Real]&gt;tPartidos[GV_Real]))+SUMPRODUCT((tPartidos[Jugado]="Sí")*(tPartidos[EquipoVisita]=V87)*(tPartidos[GV_Real]&gt;tPartidos[GL_Real]))</f>
        <v>0</v>
      </c>
      <c r="Y87">
        <f>SUMPRODUCT((tPartidos[Jugado]="Sí")*((tPartidos[EquipoLocal]=V87)+(tPartidos[EquipoVisita]=V87))*(tPartidos[GL_Real]=tPartidos[GV_Real]))</f>
        <v>0</v>
      </c>
      <c r="Z87">
        <f>W87-X87-Y87</f>
        <v>0</v>
      </c>
      <c r="AA87">
        <f>SUMIFS(tPartidos[GL_Real],tPartidos[Jugado],"Sí",tPartidos[EquipoLocal],V87)+SUMIFS(tPartidos[GV_Real],tPartidos[Jugado],"Sí",tPartidos[EquipoVisita],V87)</f>
        <v>0</v>
      </c>
      <c r="AB87">
        <f>SUMIFS(tPartidos[GV_Real],tPartidos[Jugado],"Sí",tPartidos[EquipoLocal],V87)+SUMIFS(tPartidos[GL_Real],tPartidos[Jugado],"Sí",tPartidos[EquipoVisita],V87)</f>
        <v>0</v>
      </c>
      <c r="AC87">
        <f>AA87-AB87</f>
        <v>0</v>
      </c>
      <c r="AD87">
        <f>X87*3+Y87</f>
        <v>0</v>
      </c>
    </row>
    <row r="88" spans="2:30">
      <c r="B88" s="4" t="str">
        <v>Portugal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4" t="str">
        <f>IF(ISNUMBER(MATCH($B88,$P$16:$P$23,0)),"3°","")</f>
        <v/>
      </c>
      <c r="V88" t="s">
        <v>118</v>
      </c>
      <c r="W88">
        <f>COUNTIFS(tPartidos[Jugado],"Sí",tPartidos[EquipoLocal],V88)+COUNTIFS(tPartidos[Jugado],"Sí",tPartidos[EquipoVisita],V88)</f>
        <v>0</v>
      </c>
      <c r="X88">
        <f>SUMPRODUCT((tPartidos[Jugado]="Sí")*(tPartidos[EquipoLocal]=V88)*(tPartidos[GL_Real]&gt;tPartidos[GV_Real]))+SUMPRODUCT((tPartidos[Jugado]="Sí")*(tPartidos[EquipoVisita]=V88)*(tPartidos[GV_Real]&gt;tPartidos[GL_Real]))</f>
        <v>0</v>
      </c>
      <c r="Y88">
        <f>SUMPRODUCT((tPartidos[Jugado]="Sí")*((tPartidos[EquipoLocal]=V88)+(tPartidos[EquipoVisita]=V88))*(tPartidos[GL_Real]=tPartidos[GV_Real]))</f>
        <v>0</v>
      </c>
      <c r="Z88">
        <f>W88-X88-Y88</f>
        <v>0</v>
      </c>
      <c r="AA88">
        <f>SUMIFS(tPartidos[GL_Real],tPartidos[Jugado],"Sí",tPartidos[EquipoLocal],V88)+SUMIFS(tPartidos[GV_Real],tPartidos[Jugado],"Sí",tPartidos[EquipoVisita],V88)</f>
        <v>0</v>
      </c>
      <c r="AB88">
        <f>SUMIFS(tPartidos[GV_Real],tPartidos[Jugado],"Sí",tPartidos[EquipoLocal],V88)+SUMIFS(tPartidos[GL_Real],tPartidos[Jugado],"Sí",tPartidos[EquipoVisita],V88)</f>
        <v>0</v>
      </c>
      <c r="AC88">
        <f>AA88-AB88</f>
        <v>0</v>
      </c>
      <c r="AD88">
        <f>X88*3+Y88</f>
        <v>0</v>
      </c>
    </row>
    <row r="89" spans="2:30">
      <c r="B89" s="4" t="str">
        <v>Uzbekistan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4"/>
      <c r="V89" t="s">
        <v>125</v>
      </c>
      <c r="W89">
        <f>COUNTIFS(tPartidos[Jugado],"Sí",tPartidos[EquipoLocal],V89)+COUNTIFS(tPartidos[Jugado],"Sí",tPartidos[EquipoVisita],V89)</f>
        <v>0</v>
      </c>
      <c r="X89">
        <f>SUMPRODUCT((tPartidos[Jugado]="Sí")*(tPartidos[EquipoLocal]=V89)*(tPartidos[GL_Real]&gt;tPartidos[GV_Real]))+SUMPRODUCT((tPartidos[Jugado]="Sí")*(tPartidos[EquipoVisita]=V89)*(tPartidos[GV_Real]&gt;tPartidos[GL_Real]))</f>
        <v>0</v>
      </c>
      <c r="Y89">
        <f>SUMPRODUCT((tPartidos[Jugado]="Sí")*((tPartidos[EquipoLocal]=V89)+(tPartidos[EquipoVisita]=V89))*(tPartidos[GL_Real]=tPartidos[GV_Real]))</f>
        <v>0</v>
      </c>
      <c r="Z89">
        <f>W89-X89-Y89</f>
        <v>0</v>
      </c>
      <c r="AA89">
        <f>SUMIFS(tPartidos[GL_Real],tPartidos[Jugado],"Sí",tPartidos[EquipoLocal],V89)+SUMIFS(tPartidos[GV_Real],tPartidos[Jugado],"Sí",tPartidos[EquipoVisita],V89)</f>
        <v>0</v>
      </c>
      <c r="AB89">
        <f>SUMIFS(tPartidos[GV_Real],tPartidos[Jugado],"Sí",tPartidos[EquipoLocal],V89)+SUMIFS(tPartidos[GL_Real],tPartidos[Jugado],"Sí",tPartidos[EquipoVisita],V89)</f>
        <v>0</v>
      </c>
      <c r="AC89">
        <f>AA89-AB89</f>
        <v>0</v>
      </c>
      <c r="AD89">
        <f>X89*3+Y89</f>
        <v>0</v>
      </c>
    </row>
    <row r="91" spans="2:30" ht="15.6" customHeight="1">
      <c r="B91" s="10" t="s">
        <v>157</v>
      </c>
    </row>
    <row r="92" spans="2:30">
      <c r="B92" s="28" t="s">
        <v>134</v>
      </c>
      <c r="C92" s="28" t="s">
        <v>141</v>
      </c>
      <c r="D92" s="28" t="s">
        <v>97</v>
      </c>
      <c r="E92" s="28" t="s">
        <v>79</v>
      </c>
      <c r="F92" s="28" t="s">
        <v>142</v>
      </c>
      <c r="G92" s="28" t="s">
        <v>137</v>
      </c>
      <c r="H92" s="28" t="s">
        <v>143</v>
      </c>
      <c r="I92" s="28" t="s">
        <v>136</v>
      </c>
      <c r="J92" s="28" t="s">
        <v>135</v>
      </c>
      <c r="K92" s="28" t="s">
        <v>144</v>
      </c>
    </row>
    <row r="93" spans="2:30">
      <c r="B93" s="4" t="str">
        <f t="array" ref="B93:J96">_xlfn.SORTBY(V93:AD96,AD93:AD96,-1,AC93:AC96,-1,AA93:AA96,-1)</f>
        <v>Croatia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4" t="s">
        <v>146</v>
      </c>
      <c r="V93" t="s">
        <v>122</v>
      </c>
      <c r="W93">
        <f>COUNTIFS(tPartidos[Jugado],"Sí",tPartidos[EquipoLocal],V93)+COUNTIFS(tPartidos[Jugado],"Sí",tPartidos[EquipoVisita],V93)</f>
        <v>0</v>
      </c>
      <c r="X93">
        <f>SUMPRODUCT((tPartidos[Jugado]="Sí")*(tPartidos[EquipoLocal]=V93)*(tPartidos[GL_Real]&gt;tPartidos[GV_Real]))+SUMPRODUCT((tPartidos[Jugado]="Sí")*(tPartidos[EquipoVisita]=V93)*(tPartidos[GV_Real]&gt;tPartidos[GL_Real]))</f>
        <v>0</v>
      </c>
      <c r="Y93">
        <f>SUMPRODUCT((tPartidos[Jugado]="Sí")*((tPartidos[EquipoLocal]=V93)+(tPartidos[EquipoVisita]=V93))*(tPartidos[GL_Real]=tPartidos[GV_Real]))</f>
        <v>0</v>
      </c>
      <c r="Z93">
        <f>W93-X93-Y93</f>
        <v>0</v>
      </c>
      <c r="AA93">
        <f>SUMIFS(tPartidos[GL_Real],tPartidos[Jugado],"Sí",tPartidos[EquipoLocal],V93)+SUMIFS(tPartidos[GV_Real],tPartidos[Jugado],"Sí",tPartidos[EquipoVisita],V93)</f>
        <v>0</v>
      </c>
      <c r="AB93">
        <f>SUMIFS(tPartidos[GV_Real],tPartidos[Jugado],"Sí",tPartidos[EquipoLocal],V93)+SUMIFS(tPartidos[GL_Real],tPartidos[Jugado],"Sí",tPartidos[EquipoVisita],V93)</f>
        <v>0</v>
      </c>
      <c r="AC93">
        <f>AA93-AB93</f>
        <v>0</v>
      </c>
      <c r="AD93">
        <f>X93*3+Y93</f>
        <v>0</v>
      </c>
    </row>
    <row r="94" spans="2:30">
      <c r="B94" s="4" t="str">
        <v>England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4" t="s">
        <v>146</v>
      </c>
      <c r="V94" t="s">
        <v>121</v>
      </c>
      <c r="W94">
        <f>COUNTIFS(tPartidos[Jugado],"Sí",tPartidos[EquipoLocal],V94)+COUNTIFS(tPartidos[Jugado],"Sí",tPartidos[EquipoVisita],V94)</f>
        <v>0</v>
      </c>
      <c r="X94">
        <f>SUMPRODUCT((tPartidos[Jugado]="Sí")*(tPartidos[EquipoLocal]=V94)*(tPartidos[GL_Real]&gt;tPartidos[GV_Real]))+SUMPRODUCT((tPartidos[Jugado]="Sí")*(tPartidos[EquipoVisita]=V94)*(tPartidos[GV_Real]&gt;tPartidos[GL_Real]))</f>
        <v>0</v>
      </c>
      <c r="Y94">
        <f>SUMPRODUCT((tPartidos[Jugado]="Sí")*((tPartidos[EquipoLocal]=V94)+(tPartidos[EquipoVisita]=V94))*(tPartidos[GL_Real]=tPartidos[GV_Real]))</f>
        <v>0</v>
      </c>
      <c r="Z94">
        <f>W94-X94-Y94</f>
        <v>0</v>
      </c>
      <c r="AA94">
        <f>SUMIFS(tPartidos[GL_Real],tPartidos[Jugado],"Sí",tPartidos[EquipoLocal],V94)+SUMIFS(tPartidos[GV_Real],tPartidos[Jugado],"Sí",tPartidos[EquipoVisita],V94)</f>
        <v>0</v>
      </c>
      <c r="AB94">
        <f>SUMIFS(tPartidos[GV_Real],tPartidos[Jugado],"Sí",tPartidos[EquipoLocal],V94)+SUMIFS(tPartidos[GL_Real],tPartidos[Jugado],"Sí",tPartidos[EquipoVisita],V94)</f>
        <v>0</v>
      </c>
      <c r="AC94">
        <f>AA94-AB94</f>
        <v>0</v>
      </c>
      <c r="AD94">
        <f>X94*3+Y94</f>
        <v>0</v>
      </c>
    </row>
    <row r="95" spans="2:30">
      <c r="B95" s="4" t="str">
        <v>Ghana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4" t="str">
        <f>IF(ISNUMBER(MATCH($B95,$P$16:$P$23,0)),"3°","")</f>
        <v/>
      </c>
      <c r="V95" t="s">
        <v>123</v>
      </c>
      <c r="W95">
        <f>COUNTIFS(tPartidos[Jugado],"Sí",tPartidos[EquipoLocal],V95)+COUNTIFS(tPartidos[Jugado],"Sí",tPartidos[EquipoVisita],V95)</f>
        <v>0</v>
      </c>
      <c r="X95">
        <f>SUMPRODUCT((tPartidos[Jugado]="Sí")*(tPartidos[EquipoLocal]=V95)*(tPartidos[GL_Real]&gt;tPartidos[GV_Real]))+SUMPRODUCT((tPartidos[Jugado]="Sí")*(tPartidos[EquipoVisita]=V95)*(tPartidos[GV_Real]&gt;tPartidos[GL_Real]))</f>
        <v>0</v>
      </c>
      <c r="Y95">
        <f>SUMPRODUCT((tPartidos[Jugado]="Sí")*((tPartidos[EquipoLocal]=V95)+(tPartidos[EquipoVisita]=V95))*(tPartidos[GL_Real]=tPartidos[GV_Real]))</f>
        <v>0</v>
      </c>
      <c r="Z95">
        <f>W95-X95-Y95</f>
        <v>0</v>
      </c>
      <c r="AA95">
        <f>SUMIFS(tPartidos[GL_Real],tPartidos[Jugado],"Sí",tPartidos[EquipoLocal],V95)+SUMIFS(tPartidos[GV_Real],tPartidos[Jugado],"Sí",tPartidos[EquipoVisita],V95)</f>
        <v>0</v>
      </c>
      <c r="AB95">
        <f>SUMIFS(tPartidos[GV_Real],tPartidos[Jugado],"Sí",tPartidos[EquipoLocal],V95)+SUMIFS(tPartidos[GL_Real],tPartidos[Jugado],"Sí",tPartidos[EquipoVisita],V95)</f>
        <v>0</v>
      </c>
      <c r="AC95">
        <f>AA95-AB95</f>
        <v>0</v>
      </c>
      <c r="AD95">
        <f>X95*3+Y95</f>
        <v>0</v>
      </c>
    </row>
    <row r="96" spans="2:30">
      <c r="B96" s="4" t="str">
        <v>Panama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4"/>
      <c r="V96" t="s">
        <v>124</v>
      </c>
      <c r="W96">
        <f>COUNTIFS(tPartidos[Jugado],"Sí",tPartidos[EquipoLocal],V96)+COUNTIFS(tPartidos[Jugado],"Sí",tPartidos[EquipoVisita],V96)</f>
        <v>0</v>
      </c>
      <c r="X96">
        <f>SUMPRODUCT((tPartidos[Jugado]="Sí")*(tPartidos[EquipoLocal]=V96)*(tPartidos[GL_Real]&gt;tPartidos[GV_Real]))+SUMPRODUCT((tPartidos[Jugado]="Sí")*(tPartidos[EquipoVisita]=V96)*(tPartidos[GV_Real]&gt;tPartidos[GL_Real]))</f>
        <v>0</v>
      </c>
      <c r="Y96">
        <f>SUMPRODUCT((tPartidos[Jugado]="Sí")*((tPartidos[EquipoLocal]=V96)+(tPartidos[EquipoVisita]=V96))*(tPartidos[GL_Real]=tPartidos[GV_Real]))</f>
        <v>0</v>
      </c>
      <c r="Z96">
        <f>W96-X96-Y96</f>
        <v>0</v>
      </c>
      <c r="AA96">
        <f>SUMIFS(tPartidos[GL_Real],tPartidos[Jugado],"Sí",tPartidos[EquipoLocal],V96)+SUMIFS(tPartidos[GV_Real],tPartidos[Jugado],"Sí",tPartidos[EquipoVisita],V96)</f>
        <v>0</v>
      </c>
      <c r="AB96">
        <f>SUMIFS(tPartidos[GV_Real],tPartidos[Jugado],"Sí",tPartidos[EquipoLocal],V96)+SUMIFS(tPartidos[GL_Real],tPartidos[Jugado],"Sí",tPartidos[EquipoVisita],V96)</f>
        <v>0</v>
      </c>
      <c r="AC96">
        <f>AA96-AB96</f>
        <v>0</v>
      </c>
      <c r="AD96">
        <f>X96*3+Y96</f>
        <v>0</v>
      </c>
    </row>
  </sheetData>
  <conditionalFormatting sqref="B16:K19">
    <cfRule type="expression" dxfId="35" priority="34">
      <formula>$K16="Q"</formula>
    </cfRule>
    <cfRule type="expression" dxfId="34" priority="35">
      <formula>$K16="3°"</formula>
    </cfRule>
    <cfRule type="expression" dxfId="33" priority="36">
      <formula>AND($K16&lt;&gt;"Q",$K16&lt;&gt;"3°")</formula>
    </cfRule>
  </conditionalFormatting>
  <conditionalFormatting sqref="B23:K26">
    <cfRule type="expression" dxfId="32" priority="31">
      <formula>$K23="Q"</formula>
    </cfRule>
    <cfRule type="expression" dxfId="31" priority="32">
      <formula>$K23="3°"</formula>
    </cfRule>
    <cfRule type="expression" dxfId="30" priority="33">
      <formula>AND($K23&lt;&gt;"Q",$K23&lt;&gt;"3°")</formula>
    </cfRule>
  </conditionalFormatting>
  <conditionalFormatting sqref="B30:K33">
    <cfRule type="expression" dxfId="29" priority="28">
      <formula>$K30="Q"</formula>
    </cfRule>
    <cfRule type="expression" dxfId="28" priority="29">
      <formula>$K30="3°"</formula>
    </cfRule>
    <cfRule type="expression" dxfId="27" priority="30">
      <formula>AND($K30&lt;&gt;"Q",$K30&lt;&gt;"3°")</formula>
    </cfRule>
  </conditionalFormatting>
  <conditionalFormatting sqref="B37:K40">
    <cfRule type="expression" dxfId="26" priority="25">
      <formula>$K37="Q"</formula>
    </cfRule>
    <cfRule type="expression" dxfId="25" priority="26">
      <formula>$K37="3°"</formula>
    </cfRule>
    <cfRule type="expression" dxfId="24" priority="27">
      <formula>AND($K37&lt;&gt;"Q",$K37&lt;&gt;"3°")</formula>
    </cfRule>
  </conditionalFormatting>
  <conditionalFormatting sqref="B44:K47">
    <cfRule type="expression" dxfId="23" priority="22">
      <formula>$K44="Q"</formula>
    </cfRule>
    <cfRule type="expression" dxfId="22" priority="23">
      <formula>$K44="3°"</formula>
    </cfRule>
    <cfRule type="expression" dxfId="21" priority="24">
      <formula>AND($K44&lt;&gt;"Q",$K44&lt;&gt;"3°")</formula>
    </cfRule>
  </conditionalFormatting>
  <conditionalFormatting sqref="B51:K54">
    <cfRule type="expression" dxfId="20" priority="19">
      <formula>$K51="Q"</formula>
    </cfRule>
    <cfRule type="expression" dxfId="19" priority="20">
      <formula>$K51="3°"</formula>
    </cfRule>
    <cfRule type="expression" dxfId="18" priority="21">
      <formula>AND($K51&lt;&gt;"Q",$K51&lt;&gt;"3°")</formula>
    </cfRule>
  </conditionalFormatting>
  <conditionalFormatting sqref="B58:K61">
    <cfRule type="expression" dxfId="17" priority="16">
      <formula>$K58="Q"</formula>
    </cfRule>
    <cfRule type="expression" dxfId="16" priority="17">
      <formula>$K58="3°"</formula>
    </cfRule>
    <cfRule type="expression" dxfId="15" priority="18">
      <formula>AND($K58&lt;&gt;"Q",$K58&lt;&gt;"3°")</formula>
    </cfRule>
  </conditionalFormatting>
  <conditionalFormatting sqref="B65:K68">
    <cfRule type="expression" dxfId="14" priority="13">
      <formula>$K65="Q"</formula>
    </cfRule>
    <cfRule type="expression" dxfId="13" priority="14">
      <formula>$K65="3°"</formula>
    </cfRule>
    <cfRule type="expression" dxfId="12" priority="15">
      <formula>AND($K65&lt;&gt;"Q",$K65&lt;&gt;"3°")</formula>
    </cfRule>
  </conditionalFormatting>
  <conditionalFormatting sqref="B72:K75">
    <cfRule type="expression" dxfId="11" priority="10">
      <formula>$K72="Q"</formula>
    </cfRule>
    <cfRule type="expression" dxfId="10" priority="11">
      <formula>$K72="3°"</formula>
    </cfRule>
    <cfRule type="expression" dxfId="9" priority="12">
      <formula>AND($K72&lt;&gt;"Q",$K72&lt;&gt;"3°")</formula>
    </cfRule>
  </conditionalFormatting>
  <conditionalFormatting sqref="B79:K82">
    <cfRule type="expression" dxfId="8" priority="7">
      <formula>$K79="Q"</formula>
    </cfRule>
    <cfRule type="expression" dxfId="7" priority="8">
      <formula>$K79="3°"</formula>
    </cfRule>
    <cfRule type="expression" dxfId="6" priority="9">
      <formula>AND($K79&lt;&gt;"Q",$K79&lt;&gt;"3°")</formula>
    </cfRule>
  </conditionalFormatting>
  <conditionalFormatting sqref="B86:K89">
    <cfRule type="expression" dxfId="5" priority="4">
      <formula>$K86="Q"</formula>
    </cfRule>
    <cfRule type="expression" dxfId="4" priority="5">
      <formula>$K86="3°"</formula>
    </cfRule>
    <cfRule type="expression" dxfId="3" priority="6">
      <formula>AND($K86&lt;&gt;"Q",$K86&lt;&gt;"3°")</formula>
    </cfRule>
  </conditionalFormatting>
  <conditionalFormatting sqref="B93:K96">
    <cfRule type="expression" dxfId="2" priority="1">
      <formula>$K93="Q"</formula>
    </cfRule>
    <cfRule type="expression" dxfId="1" priority="2">
      <formula>$K93="3°"</formula>
    </cfRule>
    <cfRule type="expression" dxfId="0" priority="3">
      <formula>AND($K93&lt;&gt;"Q",$K93&lt;&gt;"3°")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E66"/>
  <sheetViews>
    <sheetView showGridLines="0" zoomScale="85" zoomScaleNormal="85" workbookViewId="0">
      <pane ySplit="8" topLeftCell="A9" activePane="bottomLeft" state="frozen"/>
      <selection pane="bottomLeft" activeCell="I22" sqref="I22"/>
    </sheetView>
  </sheetViews>
  <sheetFormatPr defaultColWidth="8.85546875" defaultRowHeight="14.45"/>
  <cols>
    <col min="1" max="1" width="22" customWidth="1"/>
    <col min="2" max="2" width="9.5703125" bestFit="1" customWidth="1"/>
    <col min="3" max="3" width="15.42578125" hidden="1" customWidth="1"/>
    <col min="4" max="4" width="20.42578125" customWidth="1"/>
    <col min="5" max="5" width="33.5703125" customWidth="1"/>
    <col min="6" max="6" width="22" customWidth="1"/>
    <col min="7" max="7" width="11.140625" customWidth="1"/>
    <col min="8" max="8" width="15.28515625" customWidth="1"/>
    <col min="9" max="9" width="14.28515625" customWidth="1"/>
    <col min="10" max="10" width="18" customWidth="1"/>
    <col min="56" max="56" width="14.85546875" bestFit="1" customWidth="1"/>
    <col min="57" max="57" width="8.5703125" bestFit="1" customWidth="1"/>
  </cols>
  <sheetData>
    <row r="3" spans="1:57" ht="23.45" customHeight="1">
      <c r="D3" s="12" t="s">
        <v>158</v>
      </c>
    </row>
    <row r="5" spans="1:57" ht="17.45" customHeight="1">
      <c r="A5" s="29" t="s">
        <v>159</v>
      </c>
      <c r="B5" s="30"/>
      <c r="D5" s="13" t="s">
        <v>160</v>
      </c>
    </row>
    <row r="6" spans="1:57">
      <c r="A6" s="16" t="s">
        <v>128</v>
      </c>
      <c r="B6" s="16" t="s">
        <v>131</v>
      </c>
      <c r="C6" s="31" t="s">
        <v>161</v>
      </c>
      <c r="D6" s="32"/>
      <c r="F6" s="27" t="s">
        <v>162</v>
      </c>
      <c r="H6" s="27" t="s">
        <v>163</v>
      </c>
      <c r="J6" s="27" t="s">
        <v>164</v>
      </c>
      <c r="BD6" s="33" t="s">
        <v>165</v>
      </c>
      <c r="BE6" s="33" t="s">
        <v>166</v>
      </c>
    </row>
    <row r="7" spans="1:57" ht="21" customHeight="1">
      <c r="A7" s="15"/>
      <c r="B7" s="15"/>
      <c r="C7" s="33" t="s">
        <v>128</v>
      </c>
      <c r="D7" s="34" t="s">
        <v>131</v>
      </c>
      <c r="F7" s="25">
        <f>COUNTIF(tPartidos[Jugado],"Sí")</f>
        <v>0</v>
      </c>
      <c r="H7" s="25">
        <f>72-F7</f>
        <v>72</v>
      </c>
      <c r="J7" s="26">
        <f>IFERROR(F7/72,0)</f>
        <v>0</v>
      </c>
      <c r="BD7" t="s">
        <v>162</v>
      </c>
      <c r="BE7">
        <f>F7</f>
        <v>0</v>
      </c>
    </row>
    <row r="8" spans="1:57">
      <c r="BD8" t="s">
        <v>163</v>
      </c>
      <c r="BE8">
        <f>H7</f>
        <v>72</v>
      </c>
    </row>
    <row r="9" spans="1:57" ht="17.45" customHeight="1">
      <c r="D9" s="13" t="s">
        <v>167</v>
      </c>
    </row>
    <row r="10" spans="1:57" ht="28.9" customHeight="1">
      <c r="D10" s="28" t="s">
        <v>43</v>
      </c>
      <c r="E10" s="28" t="s">
        <v>162</v>
      </c>
      <c r="F10" s="28" t="s">
        <v>163</v>
      </c>
      <c r="G10" s="28" t="s">
        <v>168</v>
      </c>
      <c r="BD10" s="33" t="s">
        <v>169</v>
      </c>
      <c r="BE10" s="33" t="s">
        <v>166</v>
      </c>
    </row>
    <row r="11" spans="1:57">
      <c r="D11" s="4" t="s">
        <v>50</v>
      </c>
      <c r="E11" s="4">
        <f>COUNTIFS(tPartidos[Grupo],"A",tPartidos[Jugado],"Sí")</f>
        <v>0</v>
      </c>
      <c r="F11" s="4">
        <f t="shared" ref="F11:F22" si="0">6-E11</f>
        <v>6</v>
      </c>
      <c r="G11" s="14">
        <f t="shared" ref="G11:G22" si="1">IFERROR(E11/6,0)</f>
        <v>0</v>
      </c>
      <c r="BD11" t="s">
        <v>170</v>
      </c>
      <c r="BE11">
        <v>24</v>
      </c>
    </row>
    <row r="12" spans="1:57">
      <c r="D12" s="4" t="s">
        <v>58</v>
      </c>
      <c r="E12" s="4">
        <f>COUNTIFS(tPartidos[Grupo],"B",tPartidos[Jugado],"Sí")</f>
        <v>0</v>
      </c>
      <c r="F12" s="4">
        <f t="shared" si="0"/>
        <v>6</v>
      </c>
      <c r="G12" s="14">
        <f t="shared" si="1"/>
        <v>0</v>
      </c>
      <c r="BD12" t="s">
        <v>171</v>
      </c>
      <c r="BE12">
        <v>8</v>
      </c>
    </row>
    <row r="13" spans="1:57">
      <c r="D13" s="4" t="s">
        <v>72</v>
      </c>
      <c r="E13" s="4">
        <f>COUNTIFS(tPartidos[Grupo],"C",tPartidos[Jugado],"Sí")</f>
        <v>0</v>
      </c>
      <c r="F13" s="4">
        <f t="shared" si="0"/>
        <v>6</v>
      </c>
      <c r="G13" s="14">
        <f t="shared" si="1"/>
        <v>0</v>
      </c>
    </row>
    <row r="14" spans="1:57">
      <c r="D14" s="4" t="s">
        <v>62</v>
      </c>
      <c r="E14" s="4">
        <f>COUNTIFS(tPartidos[Grupo],"D",tPartidos[Jugado],"Sí")</f>
        <v>0</v>
      </c>
      <c r="F14" s="4">
        <f t="shared" si="0"/>
        <v>6</v>
      </c>
      <c r="G14" s="14">
        <f t="shared" si="1"/>
        <v>0</v>
      </c>
    </row>
    <row r="15" spans="1:57">
      <c r="D15" s="4" t="s">
        <v>79</v>
      </c>
      <c r="E15" s="4">
        <f>COUNTIFS(tPartidos[Grupo],"E",tPartidos[Jugado],"Sí")</f>
        <v>0</v>
      </c>
      <c r="F15" s="4">
        <f t="shared" si="0"/>
        <v>6</v>
      </c>
      <c r="G15" s="14">
        <f t="shared" si="1"/>
        <v>0</v>
      </c>
    </row>
    <row r="16" spans="1:57">
      <c r="D16" s="4" t="s">
        <v>83</v>
      </c>
      <c r="E16" s="4">
        <f>COUNTIFS(tPartidos[Grupo],"F",tPartidos[Jugado],"Sí")</f>
        <v>0</v>
      </c>
      <c r="F16" s="4">
        <f t="shared" si="0"/>
        <v>6</v>
      </c>
      <c r="G16" s="14">
        <f t="shared" si="1"/>
        <v>0</v>
      </c>
    </row>
    <row r="17" spans="4:57">
      <c r="D17" s="4" t="s">
        <v>97</v>
      </c>
      <c r="E17" s="4">
        <f>COUNTIFS(tPartidos[Grupo],"G",tPartidos[Jugado],"Sí")</f>
        <v>0</v>
      </c>
      <c r="F17" s="4">
        <f t="shared" si="0"/>
        <v>6</v>
      </c>
      <c r="G17" s="14">
        <f t="shared" si="1"/>
        <v>0</v>
      </c>
    </row>
    <row r="18" spans="4:57">
      <c r="D18" s="4" t="s">
        <v>93</v>
      </c>
      <c r="E18" s="4">
        <f>COUNTIFS(tPartidos[Grupo],"H",tPartidos[Jugado],"Sí")</f>
        <v>0</v>
      </c>
      <c r="F18" s="4">
        <f t="shared" si="0"/>
        <v>6</v>
      </c>
      <c r="G18" s="14">
        <f t="shared" si="1"/>
        <v>0</v>
      </c>
    </row>
    <row r="19" spans="4:57">
      <c r="D19" s="4" t="s">
        <v>106</v>
      </c>
      <c r="E19" s="4">
        <f>COUNTIFS(tPartidos[Grupo],"I",tPartidos[Jugado],"Sí")</f>
        <v>0</v>
      </c>
      <c r="F19" s="4">
        <f t="shared" si="0"/>
        <v>6</v>
      </c>
      <c r="G19" s="14">
        <f t="shared" si="1"/>
        <v>0</v>
      </c>
    </row>
    <row r="20" spans="4:57">
      <c r="D20" s="4" t="s">
        <v>111</v>
      </c>
      <c r="E20" s="4">
        <f>COUNTIFS(tPartidos[Grupo],"J",tPartidos[Jugado],"Sí")</f>
        <v>0</v>
      </c>
      <c r="F20" s="4">
        <f t="shared" si="0"/>
        <v>6</v>
      </c>
      <c r="G20" s="14">
        <f t="shared" si="1"/>
        <v>0</v>
      </c>
    </row>
    <row r="21" spans="4:57">
      <c r="D21" s="4" t="s">
        <v>117</v>
      </c>
      <c r="E21" s="4">
        <f>COUNTIFS(tPartidos[Grupo],"K",tPartidos[Jugado],"Sí")</f>
        <v>0</v>
      </c>
      <c r="F21" s="4">
        <f t="shared" si="0"/>
        <v>6</v>
      </c>
      <c r="G21" s="14">
        <f t="shared" si="1"/>
        <v>0</v>
      </c>
    </row>
    <row r="22" spans="4:57">
      <c r="D22" s="4" t="s">
        <v>120</v>
      </c>
      <c r="E22" s="4">
        <f>COUNTIFS(tPartidos[Grupo],"L",tPartidos[Jugado],"Sí")</f>
        <v>0</v>
      </c>
      <c r="F22" s="4">
        <f t="shared" si="0"/>
        <v>6</v>
      </c>
      <c r="G22" s="14">
        <f t="shared" si="1"/>
        <v>0</v>
      </c>
      <c r="BD22" s="33" t="s">
        <v>128</v>
      </c>
      <c r="BE22" s="33" t="s">
        <v>131</v>
      </c>
    </row>
    <row r="23" spans="4:57">
      <c r="BD23" t="str">
        <f t="array" ref="BD23:BE32">_xlfn.TAKE(_xlfn.SORTBY(_xlfn._xlws.FILTER(TABLA_GENERAL!B8:C57,TABLA_GENERAL!B8:B57&lt;&gt;""),INDEX(_xlfn._xlws.FILTER(TABLA_GENERAL!B8:C57,TABLA_GENERAL!B8:B57&lt;&gt;""),,2),-1),10)</f>
        <v>Jugador 1</v>
      </c>
      <c r="BE23">
        <v>0</v>
      </c>
    </row>
    <row r="24" spans="4:57">
      <c r="BD24" t="str">
        <v>Jugador 2</v>
      </c>
      <c r="BE24">
        <v>0</v>
      </c>
    </row>
    <row r="25" spans="4:57" ht="17.45" customHeight="1">
      <c r="D25" s="13" t="s">
        <v>172</v>
      </c>
      <c r="BD25" t="str">
        <v>Jugador 3</v>
      </c>
      <c r="BE25">
        <v>0</v>
      </c>
    </row>
    <row r="26" spans="4:57" ht="28.9" customHeight="1">
      <c r="D26" s="28" t="s">
        <v>43</v>
      </c>
      <c r="E26" s="28" t="s">
        <v>173</v>
      </c>
      <c r="F26" s="28" t="s">
        <v>174</v>
      </c>
      <c r="BD26" t="str">
        <v>Jugador 4</v>
      </c>
      <c r="BE26">
        <v>0</v>
      </c>
    </row>
    <row r="27" spans="4:57">
      <c r="D27" s="4" t="s">
        <v>50</v>
      </c>
      <c r="E27" s="4" t="str">
        <f>POSICIONES!$B$16</f>
        <v>Czechia</v>
      </c>
      <c r="F27" s="4" t="str">
        <f>POSICIONES!$B$17</f>
        <v>Mexico</v>
      </c>
      <c r="BD27" t="str">
        <v>Jugador 5</v>
      </c>
      <c r="BE27">
        <v>0</v>
      </c>
    </row>
    <row r="28" spans="4:57">
      <c r="D28" s="4" t="s">
        <v>58</v>
      </c>
      <c r="E28" s="4" t="str">
        <f>POSICIONES!$B$23</f>
        <v>Bosnia &amp; Herzegovina</v>
      </c>
      <c r="F28" s="4" t="str">
        <f>POSICIONES!$B$24</f>
        <v>Canada</v>
      </c>
      <c r="BD28" t="str">
        <v>Jugador 6</v>
      </c>
      <c r="BE28">
        <v>0</v>
      </c>
    </row>
    <row r="29" spans="4:57">
      <c r="D29" s="4" t="s">
        <v>72</v>
      </c>
      <c r="E29" s="4" t="str">
        <f>POSICIONES!$B$30</f>
        <v>Brazil</v>
      </c>
      <c r="F29" s="4" t="str">
        <f>POSICIONES!$B$31</f>
        <v>Haiti</v>
      </c>
      <c r="BD29" t="str">
        <v>Jugador 7</v>
      </c>
      <c r="BE29">
        <v>0</v>
      </c>
    </row>
    <row r="30" spans="4:57">
      <c r="D30" s="4" t="s">
        <v>62</v>
      </c>
      <c r="E30" s="4" t="str">
        <f>POSICIONES!$B$37</f>
        <v>Australia</v>
      </c>
      <c r="F30" s="4" t="str">
        <f>POSICIONES!$B$38</f>
        <v>Paraguay</v>
      </c>
      <c r="BD30" t="str">
        <v>Jugador 8</v>
      </c>
      <c r="BE30">
        <v>0</v>
      </c>
    </row>
    <row r="31" spans="4:57">
      <c r="D31" s="4" t="s">
        <v>79</v>
      </c>
      <c r="E31" s="4" t="str">
        <f>POSICIONES!$B$44</f>
        <v>Curaçao</v>
      </c>
      <c r="F31" s="4" t="str">
        <f>POSICIONES!$B$45</f>
        <v>Ecuador</v>
      </c>
      <c r="BD31" t="str">
        <v>Jugador 9</v>
      </c>
      <c r="BE31">
        <v>0</v>
      </c>
    </row>
    <row r="32" spans="4:57">
      <c r="D32" s="4" t="s">
        <v>83</v>
      </c>
      <c r="E32" s="4" t="str">
        <f>POSICIONES!$B$51</f>
        <v>Japan</v>
      </c>
      <c r="F32" s="4" t="str">
        <f>POSICIONES!$B$52</f>
        <v>Netherlands</v>
      </c>
      <c r="BD32" t="str">
        <v>Jugador 10</v>
      </c>
      <c r="BE32">
        <v>0</v>
      </c>
    </row>
    <row r="33" spans="4:9">
      <c r="D33" s="4" t="s">
        <v>97</v>
      </c>
      <c r="E33" s="4" t="str">
        <f>POSICIONES!$B$58</f>
        <v>Belgium</v>
      </c>
      <c r="F33" s="4" t="str">
        <f>POSICIONES!$B$59</f>
        <v>Egypt</v>
      </c>
    </row>
    <row r="34" spans="4:9">
      <c r="D34" s="4" t="s">
        <v>93</v>
      </c>
      <c r="E34" s="4" t="str">
        <f>POSICIONES!$B$65</f>
        <v>Cape Verde</v>
      </c>
      <c r="F34" s="4" t="str">
        <f>POSICIONES!$B$66</f>
        <v>Saudi Arabia</v>
      </c>
    </row>
    <row r="35" spans="4:9">
      <c r="D35" s="4" t="s">
        <v>106</v>
      </c>
      <c r="E35" s="4" t="str">
        <f>POSICIONES!$B$72</f>
        <v>France</v>
      </c>
      <c r="F35" s="4" t="str">
        <f>POSICIONES!$B$73</f>
        <v>Iraq</v>
      </c>
    </row>
    <row r="36" spans="4:9">
      <c r="D36" s="4" t="s">
        <v>111</v>
      </c>
      <c r="E36" s="4" t="str">
        <f>POSICIONES!$B$79</f>
        <v>Algeria</v>
      </c>
      <c r="F36" s="4" t="str">
        <f>POSICIONES!$B$80</f>
        <v>Argentina</v>
      </c>
    </row>
    <row r="37" spans="4:9">
      <c r="D37" s="4" t="s">
        <v>117</v>
      </c>
      <c r="E37" s="4" t="str">
        <f>POSICIONES!$B$86</f>
        <v>Colombia</v>
      </c>
      <c r="F37" s="4" t="str">
        <f>POSICIONES!$B$87</f>
        <v>DR Congo</v>
      </c>
    </row>
    <row r="38" spans="4:9">
      <c r="D38" s="4" t="s">
        <v>120</v>
      </c>
      <c r="E38" s="4" t="str">
        <f>POSICIONES!$B$93</f>
        <v>Croatia</v>
      </c>
      <c r="F38" s="4" t="str">
        <f>POSICIONES!$B$94</f>
        <v>England</v>
      </c>
    </row>
    <row r="42" spans="4:9" ht="17.45" customHeight="1">
      <c r="D42" s="13" t="s">
        <v>140</v>
      </c>
    </row>
    <row r="43" spans="4:9">
      <c r="D43" s="28" t="s">
        <v>145</v>
      </c>
      <c r="E43" s="28" t="s">
        <v>43</v>
      </c>
      <c r="F43" s="28" t="s">
        <v>134</v>
      </c>
      <c r="G43" s="28" t="s">
        <v>135</v>
      </c>
      <c r="H43" s="28" t="s">
        <v>136</v>
      </c>
      <c r="I43" s="28" t="s">
        <v>137</v>
      </c>
    </row>
    <row r="44" spans="4:9">
      <c r="D44" s="4">
        <v>1</v>
      </c>
      <c r="E44" s="4" t="str">
        <f>POSICIONES!$O$16</f>
        <v>A</v>
      </c>
      <c r="F44" s="4" t="str">
        <f>POSICIONES!$P$16</f>
        <v>South Africa</v>
      </c>
      <c r="G44" s="4">
        <f>POSICIONES!$Q$16</f>
        <v>0</v>
      </c>
      <c r="H44" s="4">
        <f>POSICIONES!$R$16</f>
        <v>0</v>
      </c>
      <c r="I44" s="4">
        <f>POSICIONES!$S$16</f>
        <v>0</v>
      </c>
    </row>
    <row r="45" spans="4:9">
      <c r="D45" s="4">
        <v>2</v>
      </c>
      <c r="E45" s="4" t="str">
        <f>POSICIONES!$O$17</f>
        <v>B</v>
      </c>
      <c r="F45" s="4" t="str">
        <f>POSICIONES!$P$17</f>
        <v>Qatar</v>
      </c>
      <c r="G45" s="4">
        <f>POSICIONES!$Q$17</f>
        <v>0</v>
      </c>
      <c r="H45" s="4">
        <f>POSICIONES!$R$17</f>
        <v>0</v>
      </c>
      <c r="I45" s="4">
        <f>POSICIONES!$S$17</f>
        <v>0</v>
      </c>
    </row>
    <row r="46" spans="4:9">
      <c r="D46" s="4">
        <v>3</v>
      </c>
      <c r="E46" s="4" t="str">
        <f>POSICIONES!$O$18</f>
        <v>C</v>
      </c>
      <c r="F46" s="4" t="str">
        <f>POSICIONES!$P$18</f>
        <v>Morocco</v>
      </c>
      <c r="G46" s="4">
        <f>POSICIONES!$Q$18</f>
        <v>0</v>
      </c>
      <c r="H46" s="4">
        <f>POSICIONES!$R$18</f>
        <v>0</v>
      </c>
      <c r="I46" s="4">
        <f>POSICIONES!$S$18</f>
        <v>0</v>
      </c>
    </row>
    <row r="47" spans="4:9">
      <c r="D47" s="4">
        <v>4</v>
      </c>
      <c r="E47" s="4" t="str">
        <f>POSICIONES!$O$19</f>
        <v>D</v>
      </c>
      <c r="F47" s="4" t="str">
        <f>POSICIONES!$P$19</f>
        <v>Türkiye</v>
      </c>
      <c r="G47" s="4">
        <f>POSICIONES!$Q$19</f>
        <v>0</v>
      </c>
      <c r="H47" s="4">
        <f>POSICIONES!$R$19</f>
        <v>0</v>
      </c>
      <c r="I47" s="4">
        <f>POSICIONES!$S$19</f>
        <v>0</v>
      </c>
    </row>
    <row r="48" spans="4:9">
      <c r="D48" s="4">
        <v>5</v>
      </c>
      <c r="E48" s="4" t="str">
        <f>POSICIONES!$O$20</f>
        <v>E</v>
      </c>
      <c r="F48" s="4" t="str">
        <f>POSICIONES!$P$20</f>
        <v>Germany</v>
      </c>
      <c r="G48" s="4">
        <f>POSICIONES!$Q$20</f>
        <v>0</v>
      </c>
      <c r="H48" s="4">
        <f>POSICIONES!$R$20</f>
        <v>0</v>
      </c>
      <c r="I48" s="4">
        <f>POSICIONES!$S$20</f>
        <v>0</v>
      </c>
    </row>
    <row r="49" spans="4:9">
      <c r="D49" s="4">
        <v>6</v>
      </c>
      <c r="E49" s="4" t="str">
        <f>POSICIONES!$O$21</f>
        <v>F</v>
      </c>
      <c r="F49" s="4" t="str">
        <f>POSICIONES!$P$21</f>
        <v>Sweden</v>
      </c>
      <c r="G49" s="4">
        <f>POSICIONES!$Q$21</f>
        <v>0</v>
      </c>
      <c r="H49" s="4">
        <f>POSICIONES!$R$21</f>
        <v>0</v>
      </c>
      <c r="I49" s="4">
        <f>POSICIONES!$S$21</f>
        <v>0</v>
      </c>
    </row>
    <row r="50" spans="4:9">
      <c r="D50" s="4">
        <v>7</v>
      </c>
      <c r="E50" s="4" t="str">
        <f>POSICIONES!$O$22</f>
        <v>G</v>
      </c>
      <c r="F50" s="4" t="str">
        <f>POSICIONES!$P$22</f>
        <v>Iran</v>
      </c>
      <c r="G50" s="4">
        <f>POSICIONES!$Q$22</f>
        <v>0</v>
      </c>
      <c r="H50" s="4">
        <f>POSICIONES!$R$22</f>
        <v>0</v>
      </c>
      <c r="I50" s="4">
        <f>POSICIONES!$S$22</f>
        <v>0</v>
      </c>
    </row>
    <row r="51" spans="4:9">
      <c r="D51" s="4">
        <v>8</v>
      </c>
      <c r="E51" s="4" t="str">
        <f>POSICIONES!$O$23</f>
        <v>H</v>
      </c>
      <c r="F51" s="4" t="str">
        <f>POSICIONES!$P$23</f>
        <v>Spain</v>
      </c>
      <c r="G51" s="4">
        <f>POSICIONES!$Q$23</f>
        <v>0</v>
      </c>
      <c r="H51" s="4">
        <f>POSICIONES!$R$23</f>
        <v>0</v>
      </c>
      <c r="I51" s="4">
        <f>POSICIONES!$S$23</f>
        <v>0</v>
      </c>
    </row>
    <row r="55" spans="4:9" ht="17.45" customHeight="1">
      <c r="D55" s="13" t="s">
        <v>175</v>
      </c>
    </row>
    <row r="56" spans="4:9">
      <c r="D56" s="28" t="s">
        <v>145</v>
      </c>
      <c r="E56" s="28" t="s">
        <v>128</v>
      </c>
      <c r="F56" s="28" t="s">
        <v>131</v>
      </c>
    </row>
    <row r="57" spans="4:9">
      <c r="D57" s="17">
        <v>1</v>
      </c>
      <c r="E57" s="18" t="str">
        <f t="shared" ref="E57:E66" si="2">BD23</f>
        <v>Jugador 1</v>
      </c>
      <c r="F57" s="18">
        <f t="shared" ref="F57:F66" si="3">BE23</f>
        <v>0</v>
      </c>
    </row>
    <row r="58" spans="4:9">
      <c r="D58" s="17">
        <v>2</v>
      </c>
      <c r="E58" s="18" t="str">
        <f t="shared" si="2"/>
        <v>Jugador 2</v>
      </c>
      <c r="F58" s="18">
        <f t="shared" si="3"/>
        <v>0</v>
      </c>
    </row>
    <row r="59" spans="4:9">
      <c r="D59" s="17">
        <v>3</v>
      </c>
      <c r="E59" s="18" t="str">
        <f t="shared" si="2"/>
        <v>Jugador 3</v>
      </c>
      <c r="F59" s="18">
        <f t="shared" si="3"/>
        <v>0</v>
      </c>
    </row>
    <row r="60" spans="4:9">
      <c r="D60" s="17">
        <v>4</v>
      </c>
      <c r="E60" s="18" t="str">
        <f t="shared" si="2"/>
        <v>Jugador 4</v>
      </c>
      <c r="F60" s="18">
        <f t="shared" si="3"/>
        <v>0</v>
      </c>
    </row>
    <row r="61" spans="4:9">
      <c r="D61" s="17">
        <v>5</v>
      </c>
      <c r="E61" s="18" t="str">
        <f t="shared" si="2"/>
        <v>Jugador 5</v>
      </c>
      <c r="F61" s="18">
        <f t="shared" si="3"/>
        <v>0</v>
      </c>
    </row>
    <row r="62" spans="4:9">
      <c r="D62" s="17">
        <v>6</v>
      </c>
      <c r="E62" s="18" t="str">
        <f t="shared" si="2"/>
        <v>Jugador 6</v>
      </c>
      <c r="F62" s="18">
        <f t="shared" si="3"/>
        <v>0</v>
      </c>
    </row>
    <row r="63" spans="4:9">
      <c r="D63" s="17">
        <v>7</v>
      </c>
      <c r="E63" s="18" t="str">
        <f t="shared" si="2"/>
        <v>Jugador 7</v>
      </c>
      <c r="F63" s="18">
        <f t="shared" si="3"/>
        <v>0</v>
      </c>
    </row>
    <row r="64" spans="4:9">
      <c r="D64" s="17">
        <v>8</v>
      </c>
      <c r="E64" s="18" t="str">
        <f t="shared" si="2"/>
        <v>Jugador 8</v>
      </c>
      <c r="F64" s="18">
        <f t="shared" si="3"/>
        <v>0</v>
      </c>
    </row>
    <row r="65" spans="4:6">
      <c r="D65" s="17">
        <v>9</v>
      </c>
      <c r="E65" s="18" t="str">
        <f t="shared" si="2"/>
        <v>Jugador 9</v>
      </c>
      <c r="F65" s="18">
        <f t="shared" si="3"/>
        <v>0</v>
      </c>
    </row>
    <row r="66" spans="4:6">
      <c r="D66" s="17">
        <v>10</v>
      </c>
      <c r="E66" s="18" t="str">
        <f t="shared" si="2"/>
        <v>Jugador 10</v>
      </c>
      <c r="F66" s="18">
        <f t="shared" si="3"/>
        <v>0</v>
      </c>
    </row>
  </sheetData>
  <mergeCells count="2">
    <mergeCell ref="C6:D6"/>
    <mergeCell ref="A5:B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Oscar Eduardo Mazariegos López</cp:lastModifiedBy>
  <cp:revision/>
  <dcterms:created xsi:type="dcterms:W3CDTF">2026-04-24T16:31:54Z</dcterms:created>
  <dcterms:modified xsi:type="dcterms:W3CDTF">2026-05-11T17:58:04Z</dcterms:modified>
  <cp:category/>
  <cp:contentStatus/>
</cp:coreProperties>
</file>