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paloblancodesarrollos-my.sharepoint.com/personal/rcaceres_paloblanco_com/Documents/Escritorio/"/>
    </mc:Choice>
  </mc:AlternateContent>
  <xr:revisionPtr revIDLastSave="7" documentId="8_{5E2ABA0A-041B-4A49-B47F-32D6F7A12232}" xr6:coauthVersionLast="47" xr6:coauthVersionMax="47" xr10:uidLastSave="{91440336-D8C9-43B9-9EA3-7FC6F9E92D14}"/>
  <workbookProtection workbookAlgorithmName="SHA-512" workbookHashValue="pxx0h9CKH75V8uzk6bFrgwDyLqO9Bi9rDffR8mu/fzbhVt823oNXoHuuj8rPPo1zlBf3846x6imcHGylCZQnLg==" workbookSaltValue="jhCO/caxy2ih/64nbKw0qg==" workbookSpinCount="100000" lockStructure="1"/>
  <bookViews>
    <workbookView xWindow="28680" yWindow="-120" windowWidth="29040" windowHeight="15720" xr2:uid="{00000000-000D-0000-FFFF-FFFF00000000}"/>
  </bookViews>
  <sheets>
    <sheet name="CAPTURA" sheetId="1" r:id="rId1"/>
    <sheet name="IMPORTAR" sheetId="2" r:id="rId2"/>
    <sheet name="MANUA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10" i="1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C5" i="1"/>
</calcChain>
</file>

<file path=xl/sharedStrings.xml><?xml version="1.0" encoding="utf-8"?>
<sst xmlns="http://schemas.openxmlformats.org/spreadsheetml/2006/main" count="248" uniqueCount="91">
  <si>
    <t>QUINIELA MUNDIAL 2026 – PRONÓSTICOS (FASE DE GRUPOS)</t>
  </si>
  <si>
    <t>Tu nombre:</t>
  </si>
  <si>
    <t>ROMMEL CACERES</t>
  </si>
  <si>
    <t>¿Qué hago aquí?</t>
  </si>
  <si>
    <t>1) Escribe los goles en las dos columnas amarillas.</t>
  </si>
  <si>
    <t>Progreso:</t>
  </si>
  <si>
    <t>2) Cuando termines, guarda y envía el archivo.</t>
  </si>
  <si>
    <t>(No cambies equipos ni fechas)</t>
  </si>
  <si>
    <t>MatchID</t>
  </si>
  <si>
    <t>Fecha</t>
  </si>
  <si>
    <t>Hora</t>
  </si>
  <si>
    <t>Grupo</t>
  </si>
  <si>
    <t>Equipo Local</t>
  </si>
  <si>
    <t>Equipo Visita</t>
  </si>
  <si>
    <t>Goles Local</t>
  </si>
  <si>
    <t>Goles Visita</t>
  </si>
  <si>
    <t>Listo</t>
  </si>
  <si>
    <t>A</t>
  </si>
  <si>
    <t>Mexico</t>
  </si>
  <si>
    <t>South Africa</t>
  </si>
  <si>
    <t>South Korea</t>
  </si>
  <si>
    <t>Czechia</t>
  </si>
  <si>
    <t>B</t>
  </si>
  <si>
    <t>Canada</t>
  </si>
  <si>
    <t>Bosnia &amp; Herzegovina</t>
  </si>
  <si>
    <t>D</t>
  </si>
  <si>
    <t>USA</t>
  </si>
  <si>
    <t>Paraguay</t>
  </si>
  <si>
    <t>Australia</t>
  </si>
  <si>
    <t>Türkiye</t>
  </si>
  <si>
    <t>Qatar</t>
  </si>
  <si>
    <t>Switzerland</t>
  </si>
  <si>
    <t>C</t>
  </si>
  <si>
    <t>Brazil</t>
  </si>
  <si>
    <t>Morocco</t>
  </si>
  <si>
    <t>Haiti</t>
  </si>
  <si>
    <t>Scotland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</si>
  <si>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</si>
  <si>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</si>
  <si>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</si>
  <si>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</si>
  <si>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</si>
  <si>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</si>
  <si>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</si>
  <si>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</si>
  <si>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</si>
  <si>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</si>
  <si>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</si>
  <si>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</si>
  <si>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</si>
  <si>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</si>
  <si>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</si>
  <si>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</si>
  <si>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</si>
  <si>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</si>
  <si>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</si>
  <si>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</si>
  <si>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</si>
  <si>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</si>
  <si>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</si>
  <si>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</si>
  <si>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</si>
  <si>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</si>
  <si>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</si>
  <si>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</si>
  <si>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</si>
  <si>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</si>
  <si>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</si>
  <si>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</si>
  <si>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</si>
  <si>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</si>
  <si>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</si>
  <si>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</si>
  <si>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</si>
  <si>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</si>
  <si>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</si>
  <si>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</si>
  <si>
    <t>COPIA y pega (como valores) al archivo del organizador (hoja PRONOSTICOS).</t>
  </si>
  <si>
    <t>Participante</t>
  </si>
  <si>
    <t>GL_Pron</t>
  </si>
  <si>
    <t>GV_Pron</t>
  </si>
  <si>
    <t>Manual rápido (para llenar y enviar)</t>
  </si>
  <si>
    <t>1) Abre este archivo.</t>
  </si>
  <si>
    <t>2) Escribe tu nombre (arriba, donde dice "Tu nombre").</t>
  </si>
  <si>
    <t>3) Ve a la hoja "CAPTURA".</t>
  </si>
  <si>
    <t>4) En cada partido, escribe SOLO dos números:</t>
  </si>
  <si>
    <t xml:space="preserve">   - Goles Local</t>
  </si>
  <si>
    <t xml:space="preserve">   - Goles Visita</t>
  </si>
  <si>
    <t>5) Cuando termines, revisa que el Progreso diga 72/72.</t>
  </si>
  <si>
    <t>6) Guarda el archivo y envíalo de regreso al organizador.</t>
  </si>
  <si>
    <t>Si te equivocas, borra el número y escribe el correcto.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</si>
</sst>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wrapText="1"/>
    </xf>
    <xf numFmtId="9" fontId="2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 wrapText="1"/>
    </xf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2" fillId="0" borderId="0" xfId="0" applyFont="1" applyAlignmen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aptura" displayName="tCaptura" ref="A9:I81">
  <autoFilter ref="A9:I81" xr:uid="{00000000-0009-0000-0100-000001000000}"/>
  <tableColumns count="9">
    <tableColumn id="1" xr3:uid="{00000000-0010-0000-0000-000001000000}" name="MatchID"/>
    <tableColumn id="2" xr3:uid="{00000000-0010-0000-0000-000002000000}" name="Fecha"/>
    <tableColumn id="3" xr3:uid="{00000000-0010-0000-0000-000003000000}" name="Hora"/>
    <tableColumn id="4" xr3:uid="{00000000-0010-0000-0000-000004000000}" name="Grupo"/>
    <tableColumn id="5" xr3:uid="{00000000-0010-0000-0000-000005000000}" name="Equipo Local"/>
    <tableColumn id="6" xr3:uid="{00000000-0010-0000-0000-000006000000}" name="Equipo Visita"/>
    <tableColumn id="7" xr3:uid="{00000000-0010-0000-0000-000007000000}" name="Goles Local"/>
    <tableColumn id="8" xr3:uid="{00000000-0010-0000-0000-000008000000}" name="Goles Visita"/>
    <tableColumn id="9" xr3:uid="{00000000-0010-0000-0000-000009000000}" name="Listo" dataDxfId="0">
      <calculatedColumnFormula>IF(AND(G10&lt;&gt;"",H10&lt;&gt;""),"OK","")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showGridLines="0" tabSelected="1" workbookViewId="0">
      <pane ySplit="9" topLeftCell="A10" activePane="bottomLeft" state="frozen"/>
      <selection pane="bottomLeft" activeCell="N30" sqref="N30"/>
    </sheetView>
  </sheetViews>
  <sheetFormatPr defaultColWidth="8.85546875" defaultRowHeight="14.45"/>
  <cols>
    <col min="1" max="1" width="11.42578125" bestFit="1" customWidth="1"/>
    <col min="2" max="2" width="10.5703125" bestFit="1" customWidth="1"/>
    <col min="3" max="3" width="9.42578125" bestFit="1" customWidth="1"/>
    <col min="4" max="4" width="10.7109375" bestFit="1" customWidth="1"/>
    <col min="5" max="6" width="19.7109375" bestFit="1" customWidth="1"/>
    <col min="7" max="7" width="15.140625" bestFit="1" customWidth="1"/>
    <col min="8" max="8" width="15.7109375" bestFit="1" customWidth="1"/>
    <col min="9" max="9" width="10.42578125" customWidth="1"/>
  </cols>
  <sheetData>
    <row r="1" spans="1:9" ht="21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3" spans="1:9">
      <c r="A3" s="1" t="s">
        <v>1</v>
      </c>
      <c r="B3" s="13" t="s">
        <v>2</v>
      </c>
      <c r="C3" s="14"/>
      <c r="D3" s="14"/>
      <c r="F3" s="15" t="s">
        <v>3</v>
      </c>
      <c r="G3" s="12"/>
      <c r="H3" s="12"/>
      <c r="I3" s="12"/>
    </row>
    <row r="4" spans="1:9">
      <c r="F4" s="10" t="s">
        <v>4</v>
      </c>
      <c r="G4" s="12"/>
      <c r="H4" s="12"/>
      <c r="I4" s="12"/>
    </row>
    <row r="5" spans="1:9">
      <c r="A5" s="1" t="s">
        <v>5</v>
      </c>
      <c r="B5" s="1">
        <f>SUMPRODUCT(--(G10:G81&lt;&gt;"")*(H10:H81&lt;&gt;""))</f>
        <v>0</v>
      </c>
      <c r="C5" s="1" t="str">
        <f>"/ 72"</f>
        <v>/ 72</v>
      </c>
      <c r="D5" s="3"/>
      <c r="F5" s="10" t="s">
        <v>6</v>
      </c>
      <c r="G5" s="12"/>
      <c r="H5" s="12"/>
      <c r="I5" s="12"/>
    </row>
    <row r="6" spans="1:9">
      <c r="F6" s="10" t="s">
        <v>7</v>
      </c>
      <c r="G6" s="12"/>
      <c r="H6" s="12"/>
      <c r="I6" s="12"/>
    </row>
    <row r="9" spans="1:9" ht="28.9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</row>
    <row r="10" spans="1:9">
      <c r="A10" s="5">
        <v>1</v>
      </c>
      <c r="B10" s="6">
        <v>46184</v>
      </c>
      <c r="C10" s="7">
        <v>0.54166666666666663</v>
      </c>
      <c r="D10" s="5" t="s">
        <v>17</v>
      </c>
      <c r="E10" s="8" t="s">
        <v>18</v>
      </c>
      <c r="F10" s="8" t="s">
        <v>19</v>
      </c>
      <c r="G10" s="9"/>
      <c r="H10" s="9"/>
      <c r="I10" t="str">
        <f t="shared" ref="I10:I73" si="0">IF(AND(G10&lt;&gt;"",H10&lt;&gt;""),"OK","")</f>
        <v/>
      </c>
    </row>
    <row r="11" spans="1:9">
      <c r="A11" s="5">
        <v>2</v>
      </c>
      <c r="B11" s="6">
        <v>46184</v>
      </c>
      <c r="C11" s="7">
        <v>0.83333333333333337</v>
      </c>
      <c r="D11" s="5" t="s">
        <v>17</v>
      </c>
      <c r="E11" s="8" t="s">
        <v>20</v>
      </c>
      <c r="F11" s="8" t="s">
        <v>21</v>
      </c>
      <c r="G11" s="9"/>
      <c r="H11" s="9"/>
      <c r="I11" t="str">
        <f t="shared" si="0"/>
        <v/>
      </c>
    </row>
    <row r="12" spans="1:9">
      <c r="A12" s="5">
        <v>3</v>
      </c>
      <c r="B12" s="6">
        <v>46185</v>
      </c>
      <c r="C12" s="7">
        <v>0.54166666666666663</v>
      </c>
      <c r="D12" s="5" t="s">
        <v>22</v>
      </c>
      <c r="E12" s="8" t="s">
        <v>23</v>
      </c>
      <c r="F12" s="8" t="s">
        <v>24</v>
      </c>
      <c r="G12" s="9"/>
      <c r="H12" s="9"/>
      <c r="I12" t="str">
        <f t="shared" si="0"/>
        <v/>
      </c>
    </row>
    <row r="13" spans="1:9">
      <c r="A13" s="5">
        <v>4</v>
      </c>
      <c r="B13" s="6">
        <v>46185</v>
      </c>
      <c r="C13" s="7">
        <v>0.79166666666666663</v>
      </c>
      <c r="D13" s="5" t="s">
        <v>25</v>
      </c>
      <c r="E13" s="8" t="s">
        <v>26</v>
      </c>
      <c r="F13" s="8" t="s">
        <v>27</v>
      </c>
      <c r="G13" s="9"/>
      <c r="H13" s="9"/>
      <c r="I13" t="str">
        <f t="shared" si="0"/>
        <v/>
      </c>
    </row>
    <row r="14" spans="1:9">
      <c r="A14" s="5">
        <v>5</v>
      </c>
      <c r="B14" s="6">
        <v>46185</v>
      </c>
      <c r="C14" s="7">
        <v>0.91666666666666663</v>
      </c>
      <c r="D14" s="5" t="s">
        <v>25</v>
      </c>
      <c r="E14" s="8" t="s">
        <v>28</v>
      </c>
      <c r="F14" s="8" t="s">
        <v>29</v>
      </c>
      <c r="G14" s="9"/>
      <c r="H14" s="9"/>
      <c r="I14" t="str">
        <f t="shared" si="0"/>
        <v/>
      </c>
    </row>
    <row r="15" spans="1:9">
      <c r="A15" s="5">
        <v>6</v>
      </c>
      <c r="B15" s="6">
        <v>46186</v>
      </c>
      <c r="C15" s="7">
        <v>0.54166666666666663</v>
      </c>
      <c r="D15" s="5" t="s">
        <v>22</v>
      </c>
      <c r="E15" s="8" t="s">
        <v>30</v>
      </c>
      <c r="F15" s="8" t="s">
        <v>31</v>
      </c>
      <c r="G15" s="9"/>
      <c r="H15" s="9"/>
      <c r="I15" t="str">
        <f t="shared" si="0"/>
        <v/>
      </c>
    </row>
    <row r="16" spans="1:9">
      <c r="A16" s="5">
        <v>7</v>
      </c>
      <c r="B16" s="6">
        <v>46186</v>
      </c>
      <c r="C16" s="7">
        <v>0.66666666666666663</v>
      </c>
      <c r="D16" s="5" t="s">
        <v>32</v>
      </c>
      <c r="E16" s="8" t="s">
        <v>33</v>
      </c>
      <c r="F16" s="8" t="s">
        <v>34</v>
      </c>
      <c r="G16" s="9"/>
      <c r="H16" s="9"/>
      <c r="I16" t="str">
        <f t="shared" si="0"/>
        <v/>
      </c>
    </row>
    <row r="17" spans="1:9">
      <c r="A17" s="5">
        <v>8</v>
      </c>
      <c r="B17" s="6">
        <v>46186</v>
      </c>
      <c r="C17" s="7">
        <v>0.79166666666666663</v>
      </c>
      <c r="D17" s="5" t="s">
        <v>32</v>
      </c>
      <c r="E17" s="8" t="s">
        <v>35</v>
      </c>
      <c r="F17" s="8" t="s">
        <v>36</v>
      </c>
      <c r="G17" s="9"/>
      <c r="H17" s="9"/>
      <c r="I17" t="str">
        <f t="shared" si="0"/>
        <v/>
      </c>
    </row>
    <row r="18" spans="1:9">
      <c r="A18" s="5">
        <v>9</v>
      </c>
      <c r="B18" s="6">
        <v>46187</v>
      </c>
      <c r="C18" s="7">
        <v>0.45833333333333331</v>
      </c>
      <c r="D18" s="5" t="s">
        <v>37</v>
      </c>
      <c r="E18" s="8" t="s">
        <v>38</v>
      </c>
      <c r="F18" s="8" t="s">
        <v>39</v>
      </c>
      <c r="G18" s="9"/>
      <c r="H18" s="9"/>
      <c r="I18" t="str">
        <f t="shared" si="0"/>
        <v/>
      </c>
    </row>
    <row r="19" spans="1:9">
      <c r="A19" s="5">
        <v>10</v>
      </c>
      <c r="B19" s="6">
        <v>46187</v>
      </c>
      <c r="C19" s="7">
        <v>0.58333333333333337</v>
      </c>
      <c r="D19" s="5" t="s">
        <v>40</v>
      </c>
      <c r="E19" s="8" t="s">
        <v>41</v>
      </c>
      <c r="F19" s="8" t="s">
        <v>42</v>
      </c>
      <c r="G19" s="9"/>
      <c r="H19" s="9"/>
      <c r="I19" t="str">
        <f t="shared" si="0"/>
        <v/>
      </c>
    </row>
    <row r="20" spans="1:9">
      <c r="A20" s="5">
        <v>11</v>
      </c>
      <c r="B20" s="6">
        <v>46187</v>
      </c>
      <c r="C20" s="7">
        <v>0.70833333333333337</v>
      </c>
      <c r="D20" s="5" t="s">
        <v>37</v>
      </c>
      <c r="E20" s="8" t="s">
        <v>43</v>
      </c>
      <c r="F20" s="8" t="s">
        <v>44</v>
      </c>
      <c r="G20" s="9"/>
      <c r="H20" s="9"/>
      <c r="I20" t="str">
        <f t="shared" si="0"/>
        <v/>
      </c>
    </row>
    <row r="21" spans="1:9">
      <c r="A21" s="5">
        <v>12</v>
      </c>
      <c r="B21" s="6">
        <v>46187</v>
      </c>
      <c r="C21" s="7">
        <v>0.83333333333333337</v>
      </c>
      <c r="D21" s="5" t="s">
        <v>40</v>
      </c>
      <c r="E21" s="8" t="s">
        <v>45</v>
      </c>
      <c r="F21" s="8" t="s">
        <v>46</v>
      </c>
      <c r="G21" s="9"/>
      <c r="H21" s="9"/>
      <c r="I21" t="str">
        <f t="shared" si="0"/>
        <v/>
      </c>
    </row>
    <row r="22" spans="1:9">
      <c r="A22" s="5">
        <v>13</v>
      </c>
      <c r="B22" s="6">
        <v>46188</v>
      </c>
      <c r="C22" s="7">
        <v>0.41666666666666669</v>
      </c>
      <c r="D22" s="5" t="s">
        <v>47</v>
      </c>
      <c r="E22" s="8" t="s">
        <v>48</v>
      </c>
      <c r="F22" s="8" t="s">
        <v>49</v>
      </c>
      <c r="G22" s="9"/>
      <c r="H22" s="9"/>
      <c r="I22" t="str">
        <f t="shared" si="0"/>
        <v/>
      </c>
    </row>
    <row r="23" spans="1:9">
      <c r="A23" s="5">
        <v>14</v>
      </c>
      <c r="B23" s="6">
        <v>46188</v>
      </c>
      <c r="C23" s="7">
        <v>0.54166666666666663</v>
      </c>
      <c r="D23" s="5" t="s">
        <v>50</v>
      </c>
      <c r="E23" s="8" t="s">
        <v>51</v>
      </c>
      <c r="F23" s="8" t="s">
        <v>52</v>
      </c>
      <c r="G23" s="9"/>
      <c r="H23" s="9"/>
      <c r="I23" t="str">
        <f t="shared" si="0"/>
        <v/>
      </c>
    </row>
    <row r="24" spans="1:9">
      <c r="A24" s="5">
        <v>15</v>
      </c>
      <c r="B24" s="6">
        <v>46188</v>
      </c>
      <c r="C24" s="7">
        <v>0.66666666666666663</v>
      </c>
      <c r="D24" s="5" t="s">
        <v>47</v>
      </c>
      <c r="E24" s="8" t="s">
        <v>53</v>
      </c>
      <c r="F24" s="8" t="s">
        <v>54</v>
      </c>
      <c r="G24" s="9"/>
      <c r="H24" s="9"/>
      <c r="I24" t="str">
        <f t="shared" si="0"/>
        <v/>
      </c>
    </row>
    <row r="25" spans="1:9">
      <c r="A25" s="5">
        <v>16</v>
      </c>
      <c r="B25" s="6">
        <v>46188</v>
      </c>
      <c r="C25" s="7">
        <v>0.79166666666666663</v>
      </c>
      <c r="D25" s="5" t="s">
        <v>50</v>
      </c>
      <c r="E25" s="8" t="s">
        <v>55</v>
      </c>
      <c r="F25" s="8" t="s">
        <v>56</v>
      </c>
      <c r="G25" s="9"/>
      <c r="H25" s="9"/>
      <c r="I25" t="str">
        <f t="shared" si="0"/>
        <v/>
      </c>
    </row>
    <row r="26" spans="1:9">
      <c r="A26" s="5">
        <v>17</v>
      </c>
      <c r="B26" s="6">
        <v>46189</v>
      </c>
      <c r="C26" s="7">
        <v>0.54166666666666663</v>
      </c>
      <c r="D26" s="5" t="s">
        <v>57</v>
      </c>
      <c r="E26" s="8" t="s">
        <v>58</v>
      </c>
      <c r="F26" s="8" t="s">
        <v>59</v>
      </c>
      <c r="G26" s="9"/>
      <c r="H26" s="9"/>
      <c r="I26" t="str">
        <f t="shared" si="0"/>
        <v/>
      </c>
    </row>
    <row r="27" spans="1:9">
      <c r="A27" s="5">
        <v>18</v>
      </c>
      <c r="B27" s="6">
        <v>46189</v>
      </c>
      <c r="C27" s="7">
        <v>0.66666666666666663</v>
      </c>
      <c r="D27" s="5" t="s">
        <v>57</v>
      </c>
      <c r="E27" s="8" t="s">
        <v>60</v>
      </c>
      <c r="F27" s="8" t="s">
        <v>61</v>
      </c>
      <c r="G27" s="9"/>
      <c r="H27" s="9"/>
      <c r="I27" t="str">
        <f t="shared" si="0"/>
        <v/>
      </c>
    </row>
    <row r="28" spans="1:9">
      <c r="A28" s="5">
        <v>19</v>
      </c>
      <c r="B28" s="6">
        <v>46189</v>
      </c>
      <c r="C28" s="7">
        <v>0.79166666666666663</v>
      </c>
      <c r="D28" s="5" t="s">
        <v>62</v>
      </c>
      <c r="E28" s="8" t="s">
        <v>63</v>
      </c>
      <c r="F28" s="8" t="s">
        <v>64</v>
      </c>
      <c r="G28" s="9"/>
      <c r="H28" s="9"/>
      <c r="I28" t="str">
        <f t="shared" si="0"/>
        <v/>
      </c>
    </row>
    <row r="29" spans="1:9">
      <c r="A29" s="5">
        <v>20</v>
      </c>
      <c r="B29" s="6">
        <v>46188</v>
      </c>
      <c r="C29" s="7">
        <v>0.91666666666666663</v>
      </c>
      <c r="D29" s="5" t="s">
        <v>62</v>
      </c>
      <c r="E29" s="8" t="s">
        <v>65</v>
      </c>
      <c r="F29" s="8" t="s">
        <v>66</v>
      </c>
      <c r="G29" s="9"/>
      <c r="H29" s="9"/>
      <c r="I29" t="str">
        <f t="shared" si="0"/>
        <v/>
      </c>
    </row>
    <row r="30" spans="1:9">
      <c r="A30" s="5">
        <v>21</v>
      </c>
      <c r="B30" s="6">
        <v>46190</v>
      </c>
      <c r="C30" s="7">
        <v>0.45833333333333331</v>
      </c>
      <c r="D30" s="5" t="s">
        <v>67</v>
      </c>
      <c r="E30" s="8" t="s">
        <v>68</v>
      </c>
      <c r="F30" s="8" t="s">
        <v>69</v>
      </c>
      <c r="G30" s="9"/>
      <c r="H30" s="9"/>
      <c r="I30" t="str">
        <f t="shared" si="0"/>
        <v/>
      </c>
    </row>
    <row r="31" spans="1:9">
      <c r="A31" s="5">
        <v>22</v>
      </c>
      <c r="B31" s="6">
        <v>46190</v>
      </c>
      <c r="C31" s="7">
        <v>0.58333333333333337</v>
      </c>
      <c r="D31" s="5" t="s">
        <v>70</v>
      </c>
      <c r="E31" s="8" t="s">
        <v>71</v>
      </c>
      <c r="F31" s="8" t="s">
        <v>72</v>
      </c>
      <c r="G31" s="9"/>
      <c r="H31" s="9"/>
      <c r="I31" t="str">
        <f t="shared" si="0"/>
        <v/>
      </c>
    </row>
    <row r="32" spans="1:9">
      <c r="A32" s="5">
        <v>23</v>
      </c>
      <c r="B32" s="6">
        <v>46190</v>
      </c>
      <c r="C32" s="7">
        <v>0.70833333333333337</v>
      </c>
      <c r="D32" s="5" t="s">
        <v>70</v>
      </c>
      <c r="E32" s="8" t="s">
        <v>73</v>
      </c>
      <c r="F32" s="8" t="s">
        <v>74</v>
      </c>
      <c r="G32" s="9"/>
      <c r="H32" s="9"/>
      <c r="I32" t="str">
        <f t="shared" si="0"/>
        <v/>
      </c>
    </row>
    <row r="33" spans="1:9">
      <c r="A33" s="5">
        <v>24</v>
      </c>
      <c r="B33" s="6">
        <v>46190</v>
      </c>
      <c r="C33" s="7">
        <v>0.83333333333333337</v>
      </c>
      <c r="D33" s="5" t="s">
        <v>67</v>
      </c>
      <c r="E33" s="8" t="s">
        <v>75</v>
      </c>
      <c r="F33" s="8" t="s">
        <v>76</v>
      </c>
      <c r="G33" s="9"/>
      <c r="H33" s="9"/>
      <c r="I33" t="str">
        <f t="shared" si="0"/>
        <v/>
      </c>
    </row>
    <row r="34" spans="1:9">
      <c r="A34" s="5">
        <v>25</v>
      </c>
      <c r="B34" s="6">
        <v>46191</v>
      </c>
      <c r="C34" s="7">
        <v>0.41666666666666669</v>
      </c>
      <c r="D34" s="5" t="s">
        <v>17</v>
      </c>
      <c r="E34" s="8" t="s">
        <v>21</v>
      </c>
      <c r="F34" s="8" t="s">
        <v>19</v>
      </c>
      <c r="G34" s="9"/>
      <c r="H34" s="9"/>
      <c r="I34" t="str">
        <f t="shared" si="0"/>
        <v/>
      </c>
    </row>
    <row r="35" spans="1:9">
      <c r="A35" s="5">
        <v>26</v>
      </c>
      <c r="B35" s="6">
        <v>46191</v>
      </c>
      <c r="C35" s="7">
        <v>0.54166666666666663</v>
      </c>
      <c r="D35" s="5" t="s">
        <v>22</v>
      </c>
      <c r="E35" s="8" t="s">
        <v>31</v>
      </c>
      <c r="F35" s="8" t="s">
        <v>24</v>
      </c>
      <c r="G35" s="9"/>
      <c r="H35" s="9"/>
      <c r="I35" t="str">
        <f t="shared" si="0"/>
        <v/>
      </c>
    </row>
    <row r="36" spans="1:9">
      <c r="A36" s="5">
        <v>27</v>
      </c>
      <c r="B36" s="6">
        <v>46191</v>
      </c>
      <c r="C36" s="7">
        <v>0.66666666666666663</v>
      </c>
      <c r="D36" s="5" t="s">
        <v>22</v>
      </c>
      <c r="E36" s="8" t="s">
        <v>23</v>
      </c>
      <c r="F36" s="8" t="s">
        <v>30</v>
      </c>
      <c r="G36" s="9"/>
      <c r="H36" s="9"/>
      <c r="I36" t="str">
        <f t="shared" si="0"/>
        <v/>
      </c>
    </row>
    <row r="37" spans="1:9">
      <c r="A37" s="5">
        <v>28</v>
      </c>
      <c r="B37" s="6">
        <v>46191</v>
      </c>
      <c r="C37" s="7">
        <v>0.79166666666666663</v>
      </c>
      <c r="D37" s="5" t="s">
        <v>17</v>
      </c>
      <c r="E37" s="8" t="s">
        <v>18</v>
      </c>
      <c r="F37" s="8" t="s">
        <v>20</v>
      </c>
      <c r="G37" s="9"/>
      <c r="H37" s="9"/>
      <c r="I37" t="str">
        <f t="shared" si="0"/>
        <v/>
      </c>
    </row>
    <row r="38" spans="1:9">
      <c r="A38" s="5">
        <v>29</v>
      </c>
      <c r="B38" s="6">
        <v>46191</v>
      </c>
      <c r="C38" s="7">
        <v>0.91666666666666663</v>
      </c>
      <c r="D38" s="5" t="s">
        <v>25</v>
      </c>
      <c r="E38" s="8" t="s">
        <v>29</v>
      </c>
      <c r="F38" s="8" t="s">
        <v>27</v>
      </c>
      <c r="G38" s="9"/>
      <c r="H38" s="9"/>
      <c r="I38" t="str">
        <f t="shared" si="0"/>
        <v/>
      </c>
    </row>
    <row r="39" spans="1:9">
      <c r="A39" s="5">
        <v>30</v>
      </c>
      <c r="B39" s="6">
        <v>46192</v>
      </c>
      <c r="C39" s="7">
        <v>0.54166666666666663</v>
      </c>
      <c r="D39" s="5" t="s">
        <v>25</v>
      </c>
      <c r="E39" s="8" t="s">
        <v>26</v>
      </c>
      <c r="F39" s="8" t="s">
        <v>28</v>
      </c>
      <c r="G39" s="9"/>
      <c r="H39" s="9"/>
      <c r="I39" t="str">
        <f t="shared" si="0"/>
        <v/>
      </c>
    </row>
    <row r="40" spans="1:9">
      <c r="A40" s="5">
        <v>31</v>
      </c>
      <c r="B40" s="6">
        <v>46192</v>
      </c>
      <c r="C40" s="7">
        <v>0.66666666666666663</v>
      </c>
      <c r="D40" s="5" t="s">
        <v>32</v>
      </c>
      <c r="E40" s="8" t="s">
        <v>36</v>
      </c>
      <c r="F40" s="8" t="s">
        <v>34</v>
      </c>
      <c r="G40" s="9"/>
      <c r="H40" s="9"/>
      <c r="I40" t="str">
        <f t="shared" si="0"/>
        <v/>
      </c>
    </row>
    <row r="41" spans="1:9">
      <c r="A41" s="5">
        <v>32</v>
      </c>
      <c r="B41" s="6">
        <v>46192</v>
      </c>
      <c r="C41" s="7">
        <v>0.79166666666666663</v>
      </c>
      <c r="D41" s="5" t="s">
        <v>32</v>
      </c>
      <c r="E41" s="8" t="s">
        <v>33</v>
      </c>
      <c r="F41" s="8" t="s">
        <v>35</v>
      </c>
      <c r="G41" s="9"/>
      <c r="H41" s="9"/>
      <c r="I41" t="str">
        <f t="shared" si="0"/>
        <v/>
      </c>
    </row>
    <row r="42" spans="1:9">
      <c r="A42" s="5">
        <v>33</v>
      </c>
      <c r="B42" s="6">
        <v>46192</v>
      </c>
      <c r="C42" s="7">
        <v>0.91666666666666663</v>
      </c>
      <c r="D42" s="5" t="s">
        <v>40</v>
      </c>
      <c r="E42" s="8" t="s">
        <v>46</v>
      </c>
      <c r="F42" s="8" t="s">
        <v>42</v>
      </c>
      <c r="G42" s="9"/>
      <c r="H42" s="9"/>
      <c r="I42" t="str">
        <f t="shared" si="0"/>
        <v/>
      </c>
    </row>
    <row r="43" spans="1:9">
      <c r="A43" s="5">
        <v>34</v>
      </c>
      <c r="B43" s="6">
        <v>46193</v>
      </c>
      <c r="C43" s="7">
        <v>0.45833333333333331</v>
      </c>
      <c r="D43" s="5" t="s">
        <v>40</v>
      </c>
      <c r="E43" s="8" t="s">
        <v>41</v>
      </c>
      <c r="F43" s="8" t="s">
        <v>45</v>
      </c>
      <c r="G43" s="9"/>
      <c r="H43" s="9"/>
      <c r="I43" t="str">
        <f t="shared" si="0"/>
        <v/>
      </c>
    </row>
    <row r="44" spans="1:9">
      <c r="A44" s="5">
        <v>35</v>
      </c>
      <c r="B44" s="6">
        <v>46193</v>
      </c>
      <c r="C44" s="7">
        <v>0.58333333333333337</v>
      </c>
      <c r="D44" s="5" t="s">
        <v>37</v>
      </c>
      <c r="E44" s="8" t="s">
        <v>38</v>
      </c>
      <c r="F44" s="8" t="s">
        <v>43</v>
      </c>
      <c r="G44" s="9"/>
      <c r="H44" s="9"/>
      <c r="I44" t="str">
        <f t="shared" si="0"/>
        <v/>
      </c>
    </row>
    <row r="45" spans="1:9">
      <c r="A45" s="5">
        <v>36</v>
      </c>
      <c r="B45" s="6">
        <v>46193</v>
      </c>
      <c r="C45" s="7">
        <v>0.75</v>
      </c>
      <c r="D45" s="5" t="s">
        <v>37</v>
      </c>
      <c r="E45" s="8" t="s">
        <v>44</v>
      </c>
      <c r="F45" s="8" t="s">
        <v>39</v>
      </c>
      <c r="G45" s="9"/>
      <c r="H45" s="9"/>
      <c r="I45" t="str">
        <f t="shared" si="0"/>
        <v/>
      </c>
    </row>
    <row r="46" spans="1:9">
      <c r="A46" s="5">
        <v>37</v>
      </c>
      <c r="B46" s="6">
        <v>46194</v>
      </c>
      <c r="C46" s="7">
        <v>0.41666666666666669</v>
      </c>
      <c r="D46" s="5" t="s">
        <v>47</v>
      </c>
      <c r="E46" s="8" t="s">
        <v>48</v>
      </c>
      <c r="F46" s="8" t="s">
        <v>53</v>
      </c>
      <c r="G46" s="9"/>
      <c r="H46" s="9"/>
      <c r="I46" t="str">
        <f t="shared" si="0"/>
        <v/>
      </c>
    </row>
    <row r="47" spans="1:9">
      <c r="A47" s="5">
        <v>38</v>
      </c>
      <c r="B47" s="6">
        <v>46194</v>
      </c>
      <c r="C47" s="7">
        <v>0.54166666666666663</v>
      </c>
      <c r="D47" s="5" t="s">
        <v>50</v>
      </c>
      <c r="E47" s="8" t="s">
        <v>51</v>
      </c>
      <c r="F47" s="8" t="s">
        <v>55</v>
      </c>
      <c r="G47" s="9"/>
      <c r="H47" s="9"/>
      <c r="I47" t="str">
        <f t="shared" si="0"/>
        <v/>
      </c>
    </row>
    <row r="48" spans="1:9">
      <c r="A48" s="5">
        <v>39</v>
      </c>
      <c r="B48" s="6">
        <v>46194</v>
      </c>
      <c r="C48" s="7">
        <v>0.66666666666666663</v>
      </c>
      <c r="D48" s="5" t="s">
        <v>47</v>
      </c>
      <c r="E48" s="8" t="s">
        <v>54</v>
      </c>
      <c r="F48" s="8" t="s">
        <v>49</v>
      </c>
      <c r="G48" s="9"/>
      <c r="H48" s="9"/>
      <c r="I48" t="str">
        <f t="shared" si="0"/>
        <v/>
      </c>
    </row>
    <row r="49" spans="1:9">
      <c r="A49" s="5">
        <v>40</v>
      </c>
      <c r="B49" s="6">
        <v>46194</v>
      </c>
      <c r="C49" s="7">
        <v>0.79166666666666663</v>
      </c>
      <c r="D49" s="5" t="s">
        <v>50</v>
      </c>
      <c r="E49" s="8" t="s">
        <v>56</v>
      </c>
      <c r="F49" s="8" t="s">
        <v>52</v>
      </c>
      <c r="G49" s="9"/>
      <c r="H49" s="9"/>
      <c r="I49" t="str">
        <f t="shared" si="0"/>
        <v/>
      </c>
    </row>
    <row r="50" spans="1:9">
      <c r="A50" s="5">
        <v>41</v>
      </c>
      <c r="B50" s="6">
        <v>46195</v>
      </c>
      <c r="C50" s="7">
        <v>0.45833333333333331</v>
      </c>
      <c r="D50" s="5" t="s">
        <v>62</v>
      </c>
      <c r="E50" s="8" t="s">
        <v>63</v>
      </c>
      <c r="F50" s="8" t="s">
        <v>65</v>
      </c>
      <c r="G50" s="9"/>
      <c r="H50" s="9"/>
      <c r="I50" t="str">
        <f t="shared" si="0"/>
        <v/>
      </c>
    </row>
    <row r="51" spans="1:9">
      <c r="A51" s="5">
        <v>42</v>
      </c>
      <c r="B51" s="6">
        <v>46195</v>
      </c>
      <c r="C51" s="7">
        <v>0.625</v>
      </c>
      <c r="D51" s="5" t="s">
        <v>57</v>
      </c>
      <c r="E51" s="8" t="s">
        <v>58</v>
      </c>
      <c r="F51" s="8" t="s">
        <v>60</v>
      </c>
      <c r="G51" s="9"/>
      <c r="H51" s="9"/>
      <c r="I51" t="str">
        <f t="shared" si="0"/>
        <v/>
      </c>
    </row>
    <row r="52" spans="1:9">
      <c r="A52" s="5">
        <v>43</v>
      </c>
      <c r="B52" s="6">
        <v>46195</v>
      </c>
      <c r="C52" s="7">
        <v>0.75</v>
      </c>
      <c r="D52" s="5" t="s">
        <v>57</v>
      </c>
      <c r="E52" s="8" t="s">
        <v>61</v>
      </c>
      <c r="F52" s="8" t="s">
        <v>59</v>
      </c>
      <c r="G52" s="9"/>
      <c r="H52" s="9"/>
      <c r="I52" t="str">
        <f t="shared" si="0"/>
        <v/>
      </c>
    </row>
    <row r="53" spans="1:9">
      <c r="A53" s="5">
        <v>44</v>
      </c>
      <c r="B53" s="6">
        <v>46195</v>
      </c>
      <c r="C53" s="7">
        <v>0.875</v>
      </c>
      <c r="D53" s="5" t="s">
        <v>62</v>
      </c>
      <c r="E53" s="8" t="s">
        <v>66</v>
      </c>
      <c r="F53" s="8" t="s">
        <v>64</v>
      </c>
      <c r="G53" s="9"/>
      <c r="H53" s="9"/>
      <c r="I53" t="str">
        <f t="shared" si="0"/>
        <v/>
      </c>
    </row>
    <row r="54" spans="1:9">
      <c r="A54" s="5">
        <v>45</v>
      </c>
      <c r="B54" s="6">
        <v>46196</v>
      </c>
      <c r="C54" s="7">
        <v>0.45833333333333331</v>
      </c>
      <c r="D54" s="5" t="s">
        <v>67</v>
      </c>
      <c r="E54" s="8" t="s">
        <v>68</v>
      </c>
      <c r="F54" s="8" t="s">
        <v>75</v>
      </c>
      <c r="G54" s="9"/>
      <c r="H54" s="9"/>
      <c r="I54" t="str">
        <f t="shared" si="0"/>
        <v/>
      </c>
    </row>
    <row r="55" spans="1:9">
      <c r="A55" s="5">
        <v>46</v>
      </c>
      <c r="B55" s="6">
        <v>46196</v>
      </c>
      <c r="C55" s="7">
        <v>0.58333333333333337</v>
      </c>
      <c r="D55" s="5" t="s">
        <v>70</v>
      </c>
      <c r="E55" s="8" t="s">
        <v>71</v>
      </c>
      <c r="F55" s="8" t="s">
        <v>73</v>
      </c>
      <c r="G55" s="9"/>
      <c r="H55" s="9"/>
      <c r="I55" t="str">
        <f t="shared" si="0"/>
        <v/>
      </c>
    </row>
    <row r="56" spans="1:9">
      <c r="A56" s="5">
        <v>47</v>
      </c>
      <c r="B56" s="6">
        <v>46196</v>
      </c>
      <c r="C56" s="7">
        <v>0.70833333333333337</v>
      </c>
      <c r="D56" s="5" t="s">
        <v>70</v>
      </c>
      <c r="E56" s="8" t="s">
        <v>74</v>
      </c>
      <c r="F56" s="8" t="s">
        <v>72</v>
      </c>
      <c r="G56" s="9"/>
      <c r="H56" s="9"/>
      <c r="I56" t="str">
        <f t="shared" si="0"/>
        <v/>
      </c>
    </row>
    <row r="57" spans="1:9">
      <c r="A57" s="5">
        <v>48</v>
      </c>
      <c r="B57" s="6">
        <v>46196</v>
      </c>
      <c r="C57" s="7">
        <v>0.83333333333333337</v>
      </c>
      <c r="D57" s="5" t="s">
        <v>67</v>
      </c>
      <c r="E57" s="8" t="s">
        <v>76</v>
      </c>
      <c r="F57" s="8" t="s">
        <v>69</v>
      </c>
      <c r="G57" s="9"/>
      <c r="H57" s="9"/>
      <c r="I57" t="str">
        <f t="shared" si="0"/>
        <v/>
      </c>
    </row>
    <row r="58" spans="1:9">
      <c r="A58" s="5">
        <v>49</v>
      </c>
      <c r="B58" s="6">
        <v>46197</v>
      </c>
      <c r="C58" s="7">
        <v>0.54166666666666663</v>
      </c>
      <c r="D58" s="5" t="s">
        <v>22</v>
      </c>
      <c r="E58" s="8" t="s">
        <v>31</v>
      </c>
      <c r="F58" s="8" t="s">
        <v>23</v>
      </c>
      <c r="G58" s="9"/>
      <c r="H58" s="9"/>
      <c r="I58" t="str">
        <f t="shared" si="0"/>
        <v/>
      </c>
    </row>
    <row r="59" spans="1:9">
      <c r="A59" s="5">
        <v>50</v>
      </c>
      <c r="B59" s="6">
        <v>46197</v>
      </c>
      <c r="C59" s="7">
        <v>0.54166666666666663</v>
      </c>
      <c r="D59" s="5" t="s">
        <v>22</v>
      </c>
      <c r="E59" s="8" t="s">
        <v>24</v>
      </c>
      <c r="F59" s="8" t="s">
        <v>30</v>
      </c>
      <c r="G59" s="9"/>
      <c r="H59" s="9"/>
      <c r="I59" t="str">
        <f t="shared" si="0"/>
        <v/>
      </c>
    </row>
    <row r="60" spans="1:9">
      <c r="A60" s="5">
        <v>51</v>
      </c>
      <c r="B60" s="6">
        <v>46197</v>
      </c>
      <c r="C60" s="7">
        <v>0.66666666666666663</v>
      </c>
      <c r="D60" s="5" t="s">
        <v>32</v>
      </c>
      <c r="E60" s="8" t="s">
        <v>36</v>
      </c>
      <c r="F60" s="8" t="s">
        <v>33</v>
      </c>
      <c r="G60" s="9"/>
      <c r="H60" s="9"/>
      <c r="I60" t="str">
        <f t="shared" si="0"/>
        <v/>
      </c>
    </row>
    <row r="61" spans="1:9">
      <c r="A61" s="5">
        <v>52</v>
      </c>
      <c r="B61" s="6">
        <v>46197</v>
      </c>
      <c r="C61" s="7">
        <v>0.66666666666666663</v>
      </c>
      <c r="D61" s="5" t="s">
        <v>32</v>
      </c>
      <c r="E61" s="8" t="s">
        <v>34</v>
      </c>
      <c r="F61" s="8" t="s">
        <v>35</v>
      </c>
      <c r="G61" s="9"/>
      <c r="H61" s="9"/>
      <c r="I61" t="str">
        <f t="shared" si="0"/>
        <v/>
      </c>
    </row>
    <row r="62" spans="1:9">
      <c r="A62" s="5">
        <v>53</v>
      </c>
      <c r="B62" s="6">
        <v>46197</v>
      </c>
      <c r="C62" s="7">
        <v>0.79166666666666663</v>
      </c>
      <c r="D62" s="5" t="s">
        <v>17</v>
      </c>
      <c r="E62" s="8" t="s">
        <v>21</v>
      </c>
      <c r="F62" s="8" t="s">
        <v>18</v>
      </c>
      <c r="G62" s="9"/>
      <c r="H62" s="9"/>
      <c r="I62" t="str">
        <f t="shared" si="0"/>
        <v/>
      </c>
    </row>
    <row r="63" spans="1:9">
      <c r="A63" s="5">
        <v>54</v>
      </c>
      <c r="B63" s="6">
        <v>46197</v>
      </c>
      <c r="C63" s="7">
        <v>0.79166666666666663</v>
      </c>
      <c r="D63" s="5" t="s">
        <v>17</v>
      </c>
      <c r="E63" s="8" t="s">
        <v>19</v>
      </c>
      <c r="F63" s="8" t="s">
        <v>20</v>
      </c>
      <c r="G63" s="9"/>
      <c r="H63" s="9"/>
      <c r="I63" t="str">
        <f t="shared" si="0"/>
        <v/>
      </c>
    </row>
    <row r="64" spans="1:9">
      <c r="A64" s="5">
        <v>55</v>
      </c>
      <c r="B64" s="6">
        <v>46198</v>
      </c>
      <c r="C64" s="7">
        <v>0.58333333333333337</v>
      </c>
      <c r="D64" s="5" t="s">
        <v>37</v>
      </c>
      <c r="E64" s="8" t="s">
        <v>39</v>
      </c>
      <c r="F64" s="8" t="s">
        <v>43</v>
      </c>
      <c r="G64" s="9"/>
      <c r="H64" s="9"/>
      <c r="I64" t="str">
        <f t="shared" si="0"/>
        <v/>
      </c>
    </row>
    <row r="65" spans="1:9">
      <c r="A65" s="5">
        <v>56</v>
      </c>
      <c r="B65" s="6">
        <v>46198</v>
      </c>
      <c r="C65" s="7">
        <v>0.58333333333333337</v>
      </c>
      <c r="D65" s="5" t="s">
        <v>37</v>
      </c>
      <c r="E65" s="8" t="s">
        <v>44</v>
      </c>
      <c r="F65" s="8" t="s">
        <v>38</v>
      </c>
      <c r="G65" s="9"/>
      <c r="H65" s="9"/>
      <c r="I65" t="str">
        <f t="shared" si="0"/>
        <v/>
      </c>
    </row>
    <row r="66" spans="1:9">
      <c r="A66" s="5">
        <v>57</v>
      </c>
      <c r="B66" s="6">
        <v>46198</v>
      </c>
      <c r="C66" s="7">
        <v>0.70833333333333337</v>
      </c>
      <c r="D66" s="5" t="s">
        <v>40</v>
      </c>
      <c r="E66" s="8" t="s">
        <v>42</v>
      </c>
      <c r="F66" s="8" t="s">
        <v>45</v>
      </c>
      <c r="G66" s="9"/>
      <c r="H66" s="9"/>
      <c r="I66" t="str">
        <f t="shared" si="0"/>
        <v/>
      </c>
    </row>
    <row r="67" spans="1:9">
      <c r="A67" s="5">
        <v>58</v>
      </c>
      <c r="B67" s="6">
        <v>46198</v>
      </c>
      <c r="C67" s="7">
        <v>0.70833333333333337</v>
      </c>
      <c r="D67" s="5" t="s">
        <v>40</v>
      </c>
      <c r="E67" s="8" t="s">
        <v>46</v>
      </c>
      <c r="F67" s="8" t="s">
        <v>41</v>
      </c>
      <c r="G67" s="9"/>
      <c r="H67" s="9"/>
      <c r="I67" t="str">
        <f t="shared" si="0"/>
        <v/>
      </c>
    </row>
    <row r="68" spans="1:9">
      <c r="A68" s="5">
        <v>59</v>
      </c>
      <c r="B68" s="6">
        <v>46198</v>
      </c>
      <c r="C68" s="7">
        <v>0.83333333333333337</v>
      </c>
      <c r="D68" s="5" t="s">
        <v>25</v>
      </c>
      <c r="E68" s="8" t="s">
        <v>29</v>
      </c>
      <c r="F68" s="8" t="s">
        <v>26</v>
      </c>
      <c r="G68" s="9"/>
      <c r="H68" s="9"/>
      <c r="I68" t="str">
        <f t="shared" si="0"/>
        <v/>
      </c>
    </row>
    <row r="69" spans="1:9">
      <c r="A69" s="5">
        <v>60</v>
      </c>
      <c r="B69" s="6">
        <v>46198</v>
      </c>
      <c r="C69" s="7">
        <v>0.83333333333333337</v>
      </c>
      <c r="D69" s="5" t="s">
        <v>25</v>
      </c>
      <c r="E69" s="8" t="s">
        <v>27</v>
      </c>
      <c r="F69" s="8" t="s">
        <v>28</v>
      </c>
      <c r="G69" s="9"/>
      <c r="H69" s="9"/>
      <c r="I69" t="str">
        <f t="shared" si="0"/>
        <v/>
      </c>
    </row>
    <row r="70" spans="1:9">
      <c r="A70" s="5">
        <v>61</v>
      </c>
      <c r="B70" s="6">
        <v>46199</v>
      </c>
      <c r="C70" s="7">
        <v>0.54166666666666663</v>
      </c>
      <c r="D70" s="5" t="s">
        <v>57</v>
      </c>
      <c r="E70" s="8" t="s">
        <v>61</v>
      </c>
      <c r="F70" s="8" t="s">
        <v>58</v>
      </c>
      <c r="G70" s="9"/>
      <c r="H70" s="9"/>
      <c r="I70" t="str">
        <f t="shared" si="0"/>
        <v/>
      </c>
    </row>
    <row r="71" spans="1:9">
      <c r="A71" s="5">
        <v>62</v>
      </c>
      <c r="B71" s="6">
        <v>46199</v>
      </c>
      <c r="C71" s="7">
        <v>0.54166666666666663</v>
      </c>
      <c r="D71" s="5" t="s">
        <v>57</v>
      </c>
      <c r="E71" s="8" t="s">
        <v>59</v>
      </c>
      <c r="F71" s="8" t="s">
        <v>60</v>
      </c>
      <c r="G71" s="9"/>
      <c r="H71" s="9"/>
      <c r="I71" t="str">
        <f t="shared" si="0"/>
        <v/>
      </c>
    </row>
    <row r="72" spans="1:9">
      <c r="A72" s="5">
        <v>63</v>
      </c>
      <c r="B72" s="6">
        <v>46199</v>
      </c>
      <c r="C72" s="7">
        <v>0.75</v>
      </c>
      <c r="D72" s="5" t="s">
        <v>47</v>
      </c>
      <c r="E72" s="8" t="s">
        <v>49</v>
      </c>
      <c r="F72" s="8" t="s">
        <v>53</v>
      </c>
      <c r="G72" s="9"/>
      <c r="H72" s="9"/>
      <c r="I72" t="str">
        <f t="shared" si="0"/>
        <v/>
      </c>
    </row>
    <row r="73" spans="1:9">
      <c r="A73" s="5">
        <v>64</v>
      </c>
      <c r="B73" s="6">
        <v>46199</v>
      </c>
      <c r="C73" s="7">
        <v>0.75</v>
      </c>
      <c r="D73" s="5" t="s">
        <v>47</v>
      </c>
      <c r="E73" s="8" t="s">
        <v>54</v>
      </c>
      <c r="F73" s="8" t="s">
        <v>48</v>
      </c>
      <c r="G73" s="9"/>
      <c r="H73" s="9"/>
      <c r="I73" t="str">
        <f t="shared" si="0"/>
        <v/>
      </c>
    </row>
    <row r="74" spans="1:9">
      <c r="A74" s="5">
        <v>65</v>
      </c>
      <c r="B74" s="6">
        <v>46199</v>
      </c>
      <c r="C74" s="7">
        <v>0.875</v>
      </c>
      <c r="D74" s="5" t="s">
        <v>50</v>
      </c>
      <c r="E74" s="8" t="s">
        <v>52</v>
      </c>
      <c r="F74" s="8" t="s">
        <v>55</v>
      </c>
      <c r="G74" s="9"/>
      <c r="H74" s="9"/>
      <c r="I74" t="str">
        <f t="shared" ref="I74:I81" si="1">IF(AND(G74&lt;&gt;"",H74&lt;&gt;""),"OK","")</f>
        <v/>
      </c>
    </row>
    <row r="75" spans="1:9">
      <c r="A75" s="5">
        <v>66</v>
      </c>
      <c r="B75" s="6">
        <v>46199</v>
      </c>
      <c r="C75" s="7">
        <v>0.875</v>
      </c>
      <c r="D75" s="5" t="s">
        <v>50</v>
      </c>
      <c r="E75" s="8" t="s">
        <v>56</v>
      </c>
      <c r="F75" s="8" t="s">
        <v>51</v>
      </c>
      <c r="G75" s="9"/>
      <c r="H75" s="9"/>
      <c r="I75" t="str">
        <f t="shared" si="1"/>
        <v/>
      </c>
    </row>
    <row r="76" spans="1:9">
      <c r="A76" s="5">
        <v>67</v>
      </c>
      <c r="B76" s="6">
        <v>46200</v>
      </c>
      <c r="C76" s="7">
        <v>0.625</v>
      </c>
      <c r="D76" s="5" t="s">
        <v>70</v>
      </c>
      <c r="E76" s="8" t="s">
        <v>74</v>
      </c>
      <c r="F76" s="8" t="s">
        <v>71</v>
      </c>
      <c r="G76" s="9"/>
      <c r="H76" s="9"/>
      <c r="I76" t="str">
        <f t="shared" si="1"/>
        <v/>
      </c>
    </row>
    <row r="77" spans="1:9">
      <c r="A77" s="5">
        <v>68</v>
      </c>
      <c r="B77" s="6">
        <v>46200</v>
      </c>
      <c r="C77" s="7">
        <v>0.625</v>
      </c>
      <c r="D77" s="5" t="s">
        <v>70</v>
      </c>
      <c r="E77" s="8" t="s">
        <v>72</v>
      </c>
      <c r="F77" s="8" t="s">
        <v>73</v>
      </c>
      <c r="G77" s="9"/>
      <c r="H77" s="9"/>
      <c r="I77" t="str">
        <f t="shared" si="1"/>
        <v/>
      </c>
    </row>
    <row r="78" spans="1:9">
      <c r="A78" s="5">
        <v>69</v>
      </c>
      <c r="B78" s="6">
        <v>46200</v>
      </c>
      <c r="C78" s="7">
        <v>0.72916666666666663</v>
      </c>
      <c r="D78" s="5" t="s">
        <v>67</v>
      </c>
      <c r="E78" s="8" t="s">
        <v>76</v>
      </c>
      <c r="F78" s="8" t="s">
        <v>68</v>
      </c>
      <c r="G78" s="9"/>
      <c r="H78" s="9"/>
      <c r="I78" t="str">
        <f t="shared" si="1"/>
        <v/>
      </c>
    </row>
    <row r="79" spans="1:9">
      <c r="A79" s="5">
        <v>70</v>
      </c>
      <c r="B79" s="6">
        <v>46200</v>
      </c>
      <c r="C79" s="7">
        <v>0.72916666666666663</v>
      </c>
      <c r="D79" s="5" t="s">
        <v>67</v>
      </c>
      <c r="E79" s="8" t="s">
        <v>69</v>
      </c>
      <c r="F79" s="8" t="s">
        <v>75</v>
      </c>
      <c r="G79" s="9"/>
      <c r="H79" s="9"/>
      <c r="I79" t="str">
        <f t="shared" si="1"/>
        <v/>
      </c>
    </row>
    <row r="80" spans="1:9">
      <c r="A80" s="5">
        <v>71</v>
      </c>
      <c r="B80" s="6">
        <v>46200</v>
      </c>
      <c r="C80" s="7">
        <v>0.83333333333333337</v>
      </c>
      <c r="D80" s="5" t="s">
        <v>62</v>
      </c>
      <c r="E80" s="8" t="s">
        <v>64</v>
      </c>
      <c r="F80" s="8" t="s">
        <v>65</v>
      </c>
      <c r="G80" s="9"/>
      <c r="H80" s="9"/>
      <c r="I80" t="str">
        <f t="shared" si="1"/>
        <v/>
      </c>
    </row>
    <row r="81" spans="1:9">
      <c r="A81" s="5">
        <v>72</v>
      </c>
      <c r="B81" s="6">
        <v>46200</v>
      </c>
      <c r="C81" s="7">
        <v>0.83333333333333337</v>
      </c>
      <c r="D81" s="5" t="s">
        <v>62</v>
      </c>
      <c r="E81" s="8" t="s">
        <v>66</v>
      </c>
      <c r="F81" s="8" t="s">
        <v>63</v>
      </c>
      <c r="G81" s="9"/>
      <c r="H81" s="9"/>
      <c r="I81" t="str">
        <f t="shared" si="1"/>
        <v/>
      </c>
    </row>
  </sheetData>
  <mergeCells count="6">
    <mergeCell ref="F6:I6"/>
    <mergeCell ref="B3:D3"/>
    <mergeCell ref="F3:I3"/>
    <mergeCell ref="F4:I4"/>
    <mergeCell ref="A1:I1"/>
    <mergeCell ref="F5:I5"/>
  </mergeCells>
  <dataValidations disablePrompts="1" count="2">
    <dataValidation type="list" allowBlank="1" sqref="B3" xr:uid="{00000000-0002-0000-0000-000000000000}">
      <formula1>"ROMMEL CACERES,ISABEL GOMEZ,ANGELICA GOMEZ,DIEGO DE GOMEZ,HENRY CACERES,BRANDON CACERES,MELANY CACERES,JULIO GOMEZ,EMILIO CACERES,VALERIA VALLE,DIANA MORALES"</formula1>
    </dataValidation>
    <dataValidation type="whole" allowBlank="1" sqref="G10:H81" xr:uid="{00000000-0002-0000-0000-000001000000}">
      <formula1>0</formula1>
      <formula2>20</formula2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"/>
  <sheetViews>
    <sheetView workbookViewId="0">
      <pane ySplit="3" topLeftCell="A4" activePane="bottomLeft" state="frozen"/>
      <selection pane="bottomLeft" sqref="A1:D1"/>
    </sheetView>
  </sheetViews>
  <sheetFormatPr defaultColWidth="8.85546875" defaultRowHeight="14.45"/>
  <cols>
    <col min="1" max="1" width="26" customWidth="1"/>
    <col min="2" max="4" width="10" customWidth="1"/>
  </cols>
  <sheetData>
    <row r="1" spans="1:4">
      <c r="A1" s="15" t="s">
        <v>77</v>
      </c>
      <c r="B1" s="12"/>
      <c r="C1" s="12"/>
      <c r="D1" s="12"/>
    </row>
    <row r="3" spans="1:4">
      <c r="A3" s="4" t="s">
        <v>78</v>
      </c>
      <c r="B3" s="4" t="s">
        <v>8</v>
      </c>
      <c r="C3" s="4" t="s">
        <v>79</v>
      </c>
      <c r="D3" s="4" t="s">
        <v>80</v>
      </c>
    </row>
    <row r="4" spans="1:4">
      <c r="A4" s="5" t="str">
        <f>CAPTURA!$B$3</f>
        <v>ROMMEL CACERES</v>
      </c>
      <c r="B4" s="5">
        <f>CAPTURA!A10</f>
        <v>1</v>
      </c>
      <c r="C4" s="5">
        <f>CAPTURA!G10</f>
        <v>0</v>
      </c>
      <c r="D4" s="5">
        <f>CAPTURA!H10</f>
        <v>0</v>
      </c>
    </row>
    <row r="5" spans="1:4">
      <c r="A5" s="5" t="str">
        <f>CAPTURA!$B$3</f>
        <v>ROMMEL CACERES</v>
      </c>
      <c r="B5" s="5">
        <f>CAPTURA!A11</f>
        <v>2</v>
      </c>
      <c r="C5" s="5">
        <f>CAPTURA!G11</f>
        <v>0</v>
      </c>
      <c r="D5" s="5">
        <f>CAPTURA!H11</f>
        <v>0</v>
      </c>
    </row>
    <row r="6" spans="1:4">
      <c r="A6" s="5" t="str">
        <f>CAPTURA!$B$3</f>
        <v>ROMMEL CACERES</v>
      </c>
      <c r="B6" s="5">
        <f>CAPTURA!A12</f>
        <v>3</v>
      </c>
      <c r="C6" s="5">
        <f>CAPTURA!G12</f>
        <v>0</v>
      </c>
      <c r="D6" s="5">
        <f>CAPTURA!H12</f>
        <v>0</v>
      </c>
    </row>
    <row r="7" spans="1:4">
      <c r="A7" s="5" t="str">
        <f>CAPTURA!$B$3</f>
        <v>ROMMEL CACERES</v>
      </c>
      <c r="B7" s="5">
        <f>CAPTURA!A13</f>
        <v>4</v>
      </c>
      <c r="C7" s="5">
        <f>CAPTURA!G13</f>
        <v>0</v>
      </c>
      <c r="D7" s="5">
        <f>CAPTURA!H13</f>
        <v>0</v>
      </c>
    </row>
    <row r="8" spans="1:4">
      <c r="A8" s="5" t="str">
        <f>CAPTURA!$B$3</f>
        <v>ROMMEL CACERES</v>
      </c>
      <c r="B8" s="5">
        <f>CAPTURA!A14</f>
        <v>5</v>
      </c>
      <c r="C8" s="5">
        <f>CAPTURA!G14</f>
        <v>0</v>
      </c>
      <c r="D8" s="5">
        <f>CAPTURA!H14</f>
        <v>0</v>
      </c>
    </row>
    <row r="9" spans="1:4">
      <c r="A9" s="5" t="str">
        <f>CAPTURA!$B$3</f>
        <v>ROMMEL CACERES</v>
      </c>
      <c r="B9" s="5">
        <f>CAPTURA!A15</f>
        <v>6</v>
      </c>
      <c r="C9" s="5">
        <f>CAPTURA!G15</f>
        <v>0</v>
      </c>
      <c r="D9" s="5">
        <f>CAPTURA!H15</f>
        <v>0</v>
      </c>
    </row>
    <row r="10" spans="1:4">
      <c r="A10" s="5" t="str">
        <f>CAPTURA!$B$3</f>
        <v>ROMMEL CACERES</v>
      </c>
      <c r="B10" s="5">
        <f>CAPTURA!A16</f>
        <v>7</v>
      </c>
      <c r="C10" s="5">
        <f>CAPTURA!G16</f>
        <v>0</v>
      </c>
      <c r="D10" s="5">
        <f>CAPTURA!H16</f>
        <v>0</v>
      </c>
    </row>
    <row r="11" spans="1:4">
      <c r="A11" s="5" t="str">
        <f>CAPTURA!$B$3</f>
        <v>ROMMEL CACERES</v>
      </c>
      <c r="B11" s="5">
        <f>CAPTURA!A17</f>
        <v>8</v>
      </c>
      <c r="C11" s="5">
        <f>CAPTURA!G17</f>
        <v>0</v>
      </c>
      <c r="D11" s="5">
        <f>CAPTURA!H17</f>
        <v>0</v>
      </c>
    </row>
    <row r="12" spans="1:4">
      <c r="A12" s="5" t="str">
        <f>CAPTURA!$B$3</f>
        <v>ROMMEL CACERES</v>
      </c>
      <c r="B12" s="5">
        <f>CAPTURA!A18</f>
        <v>9</v>
      </c>
      <c r="C12" s="5">
        <f>CAPTURA!G18</f>
        <v>0</v>
      </c>
      <c r="D12" s="5">
        <f>CAPTURA!H18</f>
        <v>0</v>
      </c>
    </row>
    <row r="13" spans="1:4">
      <c r="A13" s="5" t="str">
        <f>CAPTURA!$B$3</f>
        <v>ROMMEL CACERES</v>
      </c>
      <c r="B13" s="5">
        <f>CAPTURA!A19</f>
        <v>10</v>
      </c>
      <c r="C13" s="5">
        <f>CAPTURA!G19</f>
        <v>0</v>
      </c>
      <c r="D13" s="5">
        <f>CAPTURA!H19</f>
        <v>0</v>
      </c>
    </row>
    <row r="14" spans="1:4">
      <c r="A14" s="5" t="str">
        <f>CAPTURA!$B$3</f>
        <v>ROMMEL CACERES</v>
      </c>
      <c r="B14" s="5">
        <f>CAPTURA!A20</f>
        <v>11</v>
      </c>
      <c r="C14" s="5">
        <f>CAPTURA!G20</f>
        <v>0</v>
      </c>
      <c r="D14" s="5">
        <f>CAPTURA!H20</f>
        <v>0</v>
      </c>
    </row>
    <row r="15" spans="1:4">
      <c r="A15" s="5" t="str">
        <f>CAPTURA!$B$3</f>
        <v>ROMMEL CACERES</v>
      </c>
      <c r="B15" s="5">
        <f>CAPTURA!A21</f>
        <v>12</v>
      </c>
      <c r="C15" s="5">
        <f>CAPTURA!G21</f>
        <v>0</v>
      </c>
      <c r="D15" s="5">
        <f>CAPTURA!H21</f>
        <v>0</v>
      </c>
    </row>
    <row r="16" spans="1:4">
      <c r="A16" s="5" t="str">
        <f>CAPTURA!$B$3</f>
        <v>ROMMEL CACERES</v>
      </c>
      <c r="B16" s="5">
        <f>CAPTURA!A22</f>
        <v>13</v>
      </c>
      <c r="C16" s="5">
        <f>CAPTURA!G22</f>
        <v>0</v>
      </c>
      <c r="D16" s="5">
        <f>CAPTURA!H22</f>
        <v>0</v>
      </c>
    </row>
    <row r="17" spans="1:4">
      <c r="A17" s="5" t="str">
        <f>CAPTURA!$B$3</f>
        <v>ROMMEL CACERES</v>
      </c>
      <c r="B17" s="5">
        <f>CAPTURA!A23</f>
        <v>14</v>
      </c>
      <c r="C17" s="5">
        <f>CAPTURA!G23</f>
        <v>0</v>
      </c>
      <c r="D17" s="5">
        <f>CAPTURA!H23</f>
        <v>0</v>
      </c>
    </row>
    <row r="18" spans="1:4">
      <c r="A18" s="5" t="str">
        <f>CAPTURA!$B$3</f>
        <v>ROMMEL CACERES</v>
      </c>
      <c r="B18" s="5">
        <f>CAPTURA!A24</f>
        <v>15</v>
      </c>
      <c r="C18" s="5">
        <f>CAPTURA!G24</f>
        <v>0</v>
      </c>
      <c r="D18" s="5">
        <f>CAPTURA!H24</f>
        <v>0</v>
      </c>
    </row>
    <row r="19" spans="1:4">
      <c r="A19" s="5" t="str">
        <f>CAPTURA!$B$3</f>
        <v>ROMMEL CACERES</v>
      </c>
      <c r="B19" s="5">
        <f>CAPTURA!A25</f>
        <v>16</v>
      </c>
      <c r="C19" s="5">
        <f>CAPTURA!G25</f>
        <v>0</v>
      </c>
      <c r="D19" s="5">
        <f>CAPTURA!H25</f>
        <v>0</v>
      </c>
    </row>
    <row r="20" spans="1:4">
      <c r="A20" s="5" t="str">
        <f>CAPTURA!$B$3</f>
        <v>ROMMEL CACERES</v>
      </c>
      <c r="B20" s="5">
        <f>CAPTURA!A26</f>
        <v>17</v>
      </c>
      <c r="C20" s="5">
        <f>CAPTURA!G26</f>
        <v>0</v>
      </c>
      <c r="D20" s="5">
        <f>CAPTURA!H26</f>
        <v>0</v>
      </c>
    </row>
    <row r="21" spans="1:4">
      <c r="A21" s="5" t="str">
        <f>CAPTURA!$B$3</f>
        <v>ROMMEL CACERES</v>
      </c>
      <c r="B21" s="5">
        <f>CAPTURA!A27</f>
        <v>18</v>
      </c>
      <c r="C21" s="5">
        <f>CAPTURA!G27</f>
        <v>0</v>
      </c>
      <c r="D21" s="5">
        <f>CAPTURA!H27</f>
        <v>0</v>
      </c>
    </row>
    <row r="22" spans="1:4">
      <c r="A22" s="5" t="str">
        <f>CAPTURA!$B$3</f>
        <v>ROMMEL CACERES</v>
      </c>
      <c r="B22" s="5">
        <f>CAPTURA!A28</f>
        <v>19</v>
      </c>
      <c r="C22" s="5">
        <f>CAPTURA!G28</f>
        <v>0</v>
      </c>
      <c r="D22" s="5">
        <f>CAPTURA!H28</f>
        <v>0</v>
      </c>
    </row>
    <row r="23" spans="1:4">
      <c r="A23" s="5" t="str">
        <f>CAPTURA!$B$3</f>
        <v>ROMMEL CACERES</v>
      </c>
      <c r="B23" s="5">
        <f>CAPTURA!A29</f>
        <v>20</v>
      </c>
      <c r="C23" s="5">
        <f>CAPTURA!G29</f>
        <v>0</v>
      </c>
      <c r="D23" s="5">
        <f>CAPTURA!H29</f>
        <v>0</v>
      </c>
    </row>
    <row r="24" spans="1:4">
      <c r="A24" s="5" t="str">
        <f>CAPTURA!$B$3</f>
        <v>ROMMEL CACERES</v>
      </c>
      <c r="B24" s="5">
        <f>CAPTURA!A30</f>
        <v>21</v>
      </c>
      <c r="C24" s="5">
        <f>CAPTURA!G30</f>
        <v>0</v>
      </c>
      <c r="D24" s="5">
        <f>CAPTURA!H30</f>
        <v>0</v>
      </c>
    </row>
    <row r="25" spans="1:4">
      <c r="A25" s="5" t="str">
        <f>CAPTURA!$B$3</f>
        <v>ROMMEL CACERES</v>
      </c>
      <c r="B25" s="5">
        <f>CAPTURA!A31</f>
        <v>22</v>
      </c>
      <c r="C25" s="5">
        <f>CAPTURA!G31</f>
        <v>0</v>
      </c>
      <c r="D25" s="5">
        <f>CAPTURA!H31</f>
        <v>0</v>
      </c>
    </row>
    <row r="26" spans="1:4">
      <c r="A26" s="5" t="str">
        <f>CAPTURA!$B$3</f>
        <v>ROMMEL CACERES</v>
      </c>
      <c r="B26" s="5">
        <f>CAPTURA!A32</f>
        <v>23</v>
      </c>
      <c r="C26" s="5">
        <f>CAPTURA!G32</f>
        <v>0</v>
      </c>
      <c r="D26" s="5">
        <f>CAPTURA!H32</f>
        <v>0</v>
      </c>
    </row>
    <row r="27" spans="1:4">
      <c r="A27" s="5" t="str">
        <f>CAPTURA!$B$3</f>
        <v>ROMMEL CACERES</v>
      </c>
      <c r="B27" s="5">
        <f>CAPTURA!A33</f>
        <v>24</v>
      </c>
      <c r="C27" s="5">
        <f>CAPTURA!G33</f>
        <v>0</v>
      </c>
      <c r="D27" s="5">
        <f>CAPTURA!H33</f>
        <v>0</v>
      </c>
    </row>
    <row r="28" spans="1:4">
      <c r="A28" s="5" t="str">
        <f>CAPTURA!$B$3</f>
        <v>ROMMEL CACERES</v>
      </c>
      <c r="B28" s="5">
        <f>CAPTURA!A34</f>
        <v>25</v>
      </c>
      <c r="C28" s="5">
        <f>CAPTURA!G34</f>
        <v>0</v>
      </c>
      <c r="D28" s="5">
        <f>CAPTURA!H34</f>
        <v>0</v>
      </c>
    </row>
    <row r="29" spans="1:4">
      <c r="A29" s="5" t="str">
        <f>CAPTURA!$B$3</f>
        <v>ROMMEL CACERES</v>
      </c>
      <c r="B29" s="5">
        <f>CAPTURA!A35</f>
        <v>26</v>
      </c>
      <c r="C29" s="5">
        <f>CAPTURA!G35</f>
        <v>0</v>
      </c>
      <c r="D29" s="5">
        <f>CAPTURA!H35</f>
        <v>0</v>
      </c>
    </row>
    <row r="30" spans="1:4">
      <c r="A30" s="5" t="str">
        <f>CAPTURA!$B$3</f>
        <v>ROMMEL CACERES</v>
      </c>
      <c r="B30" s="5">
        <f>CAPTURA!A36</f>
        <v>27</v>
      </c>
      <c r="C30" s="5">
        <f>CAPTURA!G36</f>
        <v>0</v>
      </c>
      <c r="D30" s="5">
        <f>CAPTURA!H36</f>
        <v>0</v>
      </c>
    </row>
    <row r="31" spans="1:4">
      <c r="A31" s="5" t="str">
        <f>CAPTURA!$B$3</f>
        <v>ROMMEL CACERES</v>
      </c>
      <c r="B31" s="5">
        <f>CAPTURA!A37</f>
        <v>28</v>
      </c>
      <c r="C31" s="5">
        <f>CAPTURA!G37</f>
        <v>0</v>
      </c>
      <c r="D31" s="5">
        <f>CAPTURA!H37</f>
        <v>0</v>
      </c>
    </row>
    <row r="32" spans="1:4">
      <c r="A32" s="5" t="str">
        <f>CAPTURA!$B$3</f>
        <v>ROMMEL CACERES</v>
      </c>
      <c r="B32" s="5">
        <f>CAPTURA!A38</f>
        <v>29</v>
      </c>
      <c r="C32" s="5">
        <f>CAPTURA!G38</f>
        <v>0</v>
      </c>
      <c r="D32" s="5">
        <f>CAPTURA!H38</f>
        <v>0</v>
      </c>
    </row>
    <row r="33" spans="1:4">
      <c r="A33" s="5" t="str">
        <f>CAPTURA!$B$3</f>
        <v>ROMMEL CACERES</v>
      </c>
      <c r="B33" s="5">
        <f>CAPTURA!A39</f>
        <v>30</v>
      </c>
      <c r="C33" s="5">
        <f>CAPTURA!G39</f>
        <v>0</v>
      </c>
      <c r="D33" s="5">
        <f>CAPTURA!H39</f>
        <v>0</v>
      </c>
    </row>
    <row r="34" spans="1:4">
      <c r="A34" s="5" t="str">
        <f>CAPTURA!$B$3</f>
        <v>ROMMEL CACERES</v>
      </c>
      <c r="B34" s="5">
        <f>CAPTURA!A40</f>
        <v>31</v>
      </c>
      <c r="C34" s="5">
        <f>CAPTURA!G40</f>
        <v>0</v>
      </c>
      <c r="D34" s="5">
        <f>CAPTURA!H40</f>
        <v>0</v>
      </c>
    </row>
    <row r="35" spans="1:4">
      <c r="A35" s="5" t="str">
        <f>CAPTURA!$B$3</f>
        <v>ROMMEL CACERES</v>
      </c>
      <c r="B35" s="5">
        <f>CAPTURA!A41</f>
        <v>32</v>
      </c>
      <c r="C35" s="5">
        <f>CAPTURA!G41</f>
        <v>0</v>
      </c>
      <c r="D35" s="5">
        <f>CAPTURA!H41</f>
        <v>0</v>
      </c>
    </row>
    <row r="36" spans="1:4">
      <c r="A36" s="5" t="str">
        <f>CAPTURA!$B$3</f>
        <v>ROMMEL CACERES</v>
      </c>
      <c r="B36" s="5">
        <f>CAPTURA!A42</f>
        <v>33</v>
      </c>
      <c r="C36" s="5">
        <f>CAPTURA!G42</f>
        <v>0</v>
      </c>
      <c r="D36" s="5">
        <f>CAPTURA!H42</f>
        <v>0</v>
      </c>
    </row>
    <row r="37" spans="1:4">
      <c r="A37" s="5" t="str">
        <f>CAPTURA!$B$3</f>
        <v>ROMMEL CACERES</v>
      </c>
      <c r="B37" s="5">
        <f>CAPTURA!A43</f>
        <v>34</v>
      </c>
      <c r="C37" s="5">
        <f>CAPTURA!G43</f>
        <v>0</v>
      </c>
      <c r="D37" s="5">
        <f>CAPTURA!H43</f>
        <v>0</v>
      </c>
    </row>
    <row r="38" spans="1:4">
      <c r="A38" s="5" t="str">
        <f>CAPTURA!$B$3</f>
        <v>ROMMEL CACERES</v>
      </c>
      <c r="B38" s="5">
        <f>CAPTURA!A44</f>
        <v>35</v>
      </c>
      <c r="C38" s="5">
        <f>CAPTURA!G44</f>
        <v>0</v>
      </c>
      <c r="D38" s="5">
        <f>CAPTURA!H44</f>
        <v>0</v>
      </c>
    </row>
    <row r="39" spans="1:4">
      <c r="A39" s="5" t="str">
        <f>CAPTURA!$B$3</f>
        <v>ROMMEL CACERES</v>
      </c>
      <c r="B39" s="5">
        <f>CAPTURA!A45</f>
        <v>36</v>
      </c>
      <c r="C39" s="5">
        <f>CAPTURA!G45</f>
        <v>0</v>
      </c>
      <c r="D39" s="5">
        <f>CAPTURA!H45</f>
        <v>0</v>
      </c>
    </row>
    <row r="40" spans="1:4">
      <c r="A40" s="5" t="str">
        <f>CAPTURA!$B$3</f>
        <v>ROMMEL CACERES</v>
      </c>
      <c r="B40" s="5">
        <f>CAPTURA!A46</f>
        <v>37</v>
      </c>
      <c r="C40" s="5">
        <f>CAPTURA!G46</f>
        <v>0</v>
      </c>
      <c r="D40" s="5">
        <f>CAPTURA!H46</f>
        <v>0</v>
      </c>
    </row>
    <row r="41" spans="1:4">
      <c r="A41" s="5" t="str">
        <f>CAPTURA!$B$3</f>
        <v>ROMMEL CACERES</v>
      </c>
      <c r="B41" s="5">
        <f>CAPTURA!A47</f>
        <v>38</v>
      </c>
      <c r="C41" s="5">
        <f>CAPTURA!G47</f>
        <v>0</v>
      </c>
      <c r="D41" s="5">
        <f>CAPTURA!H47</f>
        <v>0</v>
      </c>
    </row>
    <row r="42" spans="1:4">
      <c r="A42" s="5" t="str">
        <f>CAPTURA!$B$3</f>
        <v>ROMMEL CACERES</v>
      </c>
      <c r="B42" s="5">
        <f>CAPTURA!A48</f>
        <v>39</v>
      </c>
      <c r="C42" s="5">
        <f>CAPTURA!G48</f>
        <v>0</v>
      </c>
      <c r="D42" s="5">
        <f>CAPTURA!H48</f>
        <v>0</v>
      </c>
    </row>
    <row r="43" spans="1:4">
      <c r="A43" s="5" t="str">
        <f>CAPTURA!$B$3</f>
        <v>ROMMEL CACERES</v>
      </c>
      <c r="B43" s="5">
        <f>CAPTURA!A49</f>
        <v>40</v>
      </c>
      <c r="C43" s="5">
        <f>CAPTURA!G49</f>
        <v>0</v>
      </c>
      <c r="D43" s="5">
        <f>CAPTURA!H49</f>
        <v>0</v>
      </c>
    </row>
    <row r="44" spans="1:4">
      <c r="A44" s="5" t="str">
        <f>CAPTURA!$B$3</f>
        <v>ROMMEL CACERES</v>
      </c>
      <c r="B44" s="5">
        <f>CAPTURA!A50</f>
        <v>41</v>
      </c>
      <c r="C44" s="5">
        <f>CAPTURA!G50</f>
        <v>0</v>
      </c>
      <c r="D44" s="5">
        <f>CAPTURA!H50</f>
        <v>0</v>
      </c>
    </row>
    <row r="45" spans="1:4">
      <c r="A45" s="5" t="str">
        <f>CAPTURA!$B$3</f>
        <v>ROMMEL CACERES</v>
      </c>
      <c r="B45" s="5">
        <f>CAPTURA!A51</f>
        <v>42</v>
      </c>
      <c r="C45" s="5">
        <f>CAPTURA!G51</f>
        <v>0</v>
      </c>
      <c r="D45" s="5">
        <f>CAPTURA!H51</f>
        <v>0</v>
      </c>
    </row>
    <row r="46" spans="1:4">
      <c r="A46" s="5" t="str">
        <f>CAPTURA!$B$3</f>
        <v>ROMMEL CACERES</v>
      </c>
      <c r="B46" s="5">
        <f>CAPTURA!A52</f>
        <v>43</v>
      </c>
      <c r="C46" s="5">
        <f>CAPTURA!G52</f>
        <v>0</v>
      </c>
      <c r="D46" s="5">
        <f>CAPTURA!H52</f>
        <v>0</v>
      </c>
    </row>
    <row r="47" spans="1:4">
      <c r="A47" s="5" t="str">
        <f>CAPTURA!$B$3</f>
        <v>ROMMEL CACERES</v>
      </c>
      <c r="B47" s="5">
        <f>CAPTURA!A53</f>
        <v>44</v>
      </c>
      <c r="C47" s="5">
        <f>CAPTURA!G53</f>
        <v>0</v>
      </c>
      <c r="D47" s="5">
        <f>CAPTURA!H53</f>
        <v>0</v>
      </c>
    </row>
    <row r="48" spans="1:4">
      <c r="A48" s="5" t="str">
        <f>CAPTURA!$B$3</f>
        <v>ROMMEL CACERES</v>
      </c>
      <c r="B48" s="5">
        <f>CAPTURA!A54</f>
        <v>45</v>
      </c>
      <c r="C48" s="5">
        <f>CAPTURA!G54</f>
        <v>0</v>
      </c>
      <c r="D48" s="5">
        <f>CAPTURA!H54</f>
        <v>0</v>
      </c>
    </row>
    <row r="49" spans="1:4">
      <c r="A49" s="5" t="str">
        <f>CAPTURA!$B$3</f>
        <v>ROMMEL CACERES</v>
      </c>
      <c r="B49" s="5">
        <f>CAPTURA!A55</f>
        <v>46</v>
      </c>
      <c r="C49" s="5">
        <f>CAPTURA!G55</f>
        <v>0</v>
      </c>
      <c r="D49" s="5">
        <f>CAPTURA!H55</f>
        <v>0</v>
      </c>
    </row>
    <row r="50" spans="1:4">
      <c r="A50" s="5" t="str">
        <f>CAPTURA!$B$3</f>
        <v>ROMMEL CACERES</v>
      </c>
      <c r="B50" s="5">
        <f>CAPTURA!A56</f>
        <v>47</v>
      </c>
      <c r="C50" s="5">
        <f>CAPTURA!G56</f>
        <v>0</v>
      </c>
      <c r="D50" s="5">
        <f>CAPTURA!H56</f>
        <v>0</v>
      </c>
    </row>
    <row r="51" spans="1:4">
      <c r="A51" s="5" t="str">
        <f>CAPTURA!$B$3</f>
        <v>ROMMEL CACERES</v>
      </c>
      <c r="B51" s="5">
        <f>CAPTURA!A57</f>
        <v>48</v>
      </c>
      <c r="C51" s="5">
        <f>CAPTURA!G57</f>
        <v>0</v>
      </c>
      <c r="D51" s="5">
        <f>CAPTURA!H57</f>
        <v>0</v>
      </c>
    </row>
    <row r="52" spans="1:4">
      <c r="A52" s="5" t="str">
        <f>CAPTURA!$B$3</f>
        <v>ROMMEL CACERES</v>
      </c>
      <c r="B52" s="5">
        <f>CAPTURA!A58</f>
        <v>49</v>
      </c>
      <c r="C52" s="5">
        <f>CAPTURA!G58</f>
        <v>0</v>
      </c>
      <c r="D52" s="5">
        <f>CAPTURA!H58</f>
        <v>0</v>
      </c>
    </row>
    <row r="53" spans="1:4">
      <c r="A53" s="5" t="str">
        <f>CAPTURA!$B$3</f>
        <v>ROMMEL CACERES</v>
      </c>
      <c r="B53" s="5">
        <f>CAPTURA!A59</f>
        <v>50</v>
      </c>
      <c r="C53" s="5">
        <f>CAPTURA!G59</f>
        <v>0</v>
      </c>
      <c r="D53" s="5">
        <f>CAPTURA!H59</f>
        <v>0</v>
      </c>
    </row>
    <row r="54" spans="1:4">
      <c r="A54" s="5" t="str">
        <f>CAPTURA!$B$3</f>
        <v>ROMMEL CACERES</v>
      </c>
      <c r="B54" s="5">
        <f>CAPTURA!A60</f>
        <v>51</v>
      </c>
      <c r="C54" s="5">
        <f>CAPTURA!G60</f>
        <v>0</v>
      </c>
      <c r="D54" s="5">
        <f>CAPTURA!H60</f>
        <v>0</v>
      </c>
    </row>
    <row r="55" spans="1:4">
      <c r="A55" s="5" t="str">
        <f>CAPTURA!$B$3</f>
        <v>ROMMEL CACERES</v>
      </c>
      <c r="B55" s="5">
        <f>CAPTURA!A61</f>
        <v>52</v>
      </c>
      <c r="C55" s="5">
        <f>CAPTURA!G61</f>
        <v>0</v>
      </c>
      <c r="D55" s="5">
        <f>CAPTURA!H61</f>
        <v>0</v>
      </c>
    </row>
    <row r="56" spans="1:4">
      <c r="A56" s="5" t="str">
        <f>CAPTURA!$B$3</f>
        <v>ROMMEL CACERES</v>
      </c>
      <c r="B56" s="5">
        <f>CAPTURA!A62</f>
        <v>53</v>
      </c>
      <c r="C56" s="5">
        <f>CAPTURA!G62</f>
        <v>0</v>
      </c>
      <c r="D56" s="5">
        <f>CAPTURA!H62</f>
        <v>0</v>
      </c>
    </row>
    <row r="57" spans="1:4">
      <c r="A57" s="5" t="str">
        <f>CAPTURA!$B$3</f>
        <v>ROMMEL CACERES</v>
      </c>
      <c r="B57" s="5">
        <f>CAPTURA!A63</f>
        <v>54</v>
      </c>
      <c r="C57" s="5">
        <f>CAPTURA!G63</f>
        <v>0</v>
      </c>
      <c r="D57" s="5">
        <f>CAPTURA!H63</f>
        <v>0</v>
      </c>
    </row>
    <row r="58" spans="1:4">
      <c r="A58" s="5" t="str">
        <f>CAPTURA!$B$3</f>
        <v>ROMMEL CACERES</v>
      </c>
      <c r="B58" s="5">
        <f>CAPTURA!A64</f>
        <v>55</v>
      </c>
      <c r="C58" s="5">
        <f>CAPTURA!G64</f>
        <v>0</v>
      </c>
      <c r="D58" s="5">
        <f>CAPTURA!H64</f>
        <v>0</v>
      </c>
    </row>
    <row r="59" spans="1:4">
      <c r="A59" s="5" t="str">
        <f>CAPTURA!$B$3</f>
        <v>ROMMEL CACERES</v>
      </c>
      <c r="B59" s="5">
        <f>CAPTURA!A65</f>
        <v>56</v>
      </c>
      <c r="C59" s="5">
        <f>CAPTURA!G65</f>
        <v>0</v>
      </c>
      <c r="D59" s="5">
        <f>CAPTURA!H65</f>
        <v>0</v>
      </c>
    </row>
    <row r="60" spans="1:4">
      <c r="A60" s="5" t="str">
        <f>CAPTURA!$B$3</f>
        <v>ROMMEL CACERES</v>
      </c>
      <c r="B60" s="5">
        <f>CAPTURA!A66</f>
        <v>57</v>
      </c>
      <c r="C60" s="5">
        <f>CAPTURA!G66</f>
        <v>0</v>
      </c>
      <c r="D60" s="5">
        <f>CAPTURA!H66</f>
        <v>0</v>
      </c>
    </row>
    <row r="61" spans="1:4">
      <c r="A61" s="5" t="str">
        <f>CAPTURA!$B$3</f>
        <v>ROMMEL CACERES</v>
      </c>
      <c r="B61" s="5">
        <f>CAPTURA!A67</f>
        <v>58</v>
      </c>
      <c r="C61" s="5">
        <f>CAPTURA!G67</f>
        <v>0</v>
      </c>
      <c r="D61" s="5">
        <f>CAPTURA!H67</f>
        <v>0</v>
      </c>
    </row>
    <row r="62" spans="1:4">
      <c r="A62" s="5" t="str">
        <f>CAPTURA!$B$3</f>
        <v>ROMMEL CACERES</v>
      </c>
      <c r="B62" s="5">
        <f>CAPTURA!A68</f>
        <v>59</v>
      </c>
      <c r="C62" s="5">
        <f>CAPTURA!G68</f>
        <v>0</v>
      </c>
      <c r="D62" s="5">
        <f>CAPTURA!H68</f>
        <v>0</v>
      </c>
    </row>
    <row r="63" spans="1:4">
      <c r="A63" s="5" t="str">
        <f>CAPTURA!$B$3</f>
        <v>ROMMEL CACERES</v>
      </c>
      <c r="B63" s="5">
        <f>CAPTURA!A69</f>
        <v>60</v>
      </c>
      <c r="C63" s="5">
        <f>CAPTURA!G69</f>
        <v>0</v>
      </c>
      <c r="D63" s="5">
        <f>CAPTURA!H69</f>
        <v>0</v>
      </c>
    </row>
    <row r="64" spans="1:4">
      <c r="A64" s="5" t="str">
        <f>CAPTURA!$B$3</f>
        <v>ROMMEL CACERES</v>
      </c>
      <c r="B64" s="5">
        <f>CAPTURA!A70</f>
        <v>61</v>
      </c>
      <c r="C64" s="5">
        <f>CAPTURA!G70</f>
        <v>0</v>
      </c>
      <c r="D64" s="5">
        <f>CAPTURA!H70</f>
        <v>0</v>
      </c>
    </row>
    <row r="65" spans="1:4">
      <c r="A65" s="5" t="str">
        <f>CAPTURA!$B$3</f>
        <v>ROMMEL CACERES</v>
      </c>
      <c r="B65" s="5">
        <f>CAPTURA!A71</f>
        <v>62</v>
      </c>
      <c r="C65" s="5">
        <f>CAPTURA!G71</f>
        <v>0</v>
      </c>
      <c r="D65" s="5">
        <f>CAPTURA!H71</f>
        <v>0</v>
      </c>
    </row>
    <row r="66" spans="1:4">
      <c r="A66" s="5" t="str">
        <f>CAPTURA!$B$3</f>
        <v>ROMMEL CACERES</v>
      </c>
      <c r="B66" s="5">
        <f>CAPTURA!A72</f>
        <v>63</v>
      </c>
      <c r="C66" s="5">
        <f>CAPTURA!G72</f>
        <v>0</v>
      </c>
      <c r="D66" s="5">
        <f>CAPTURA!H72</f>
        <v>0</v>
      </c>
    </row>
    <row r="67" spans="1:4">
      <c r="A67" s="5" t="str">
        <f>CAPTURA!$B$3</f>
        <v>ROMMEL CACERES</v>
      </c>
      <c r="B67" s="5">
        <f>CAPTURA!A73</f>
        <v>64</v>
      </c>
      <c r="C67" s="5">
        <f>CAPTURA!G73</f>
        <v>0</v>
      </c>
      <c r="D67" s="5">
        <f>CAPTURA!H73</f>
        <v>0</v>
      </c>
    </row>
    <row r="68" spans="1:4">
      <c r="A68" s="5" t="str">
        <f>CAPTURA!$B$3</f>
        <v>ROMMEL CACERES</v>
      </c>
      <c r="B68" s="5">
        <f>CAPTURA!A74</f>
        <v>65</v>
      </c>
      <c r="C68" s="5">
        <f>CAPTURA!G74</f>
        <v>0</v>
      </c>
      <c r="D68" s="5">
        <f>CAPTURA!H74</f>
        <v>0</v>
      </c>
    </row>
    <row r="69" spans="1:4">
      <c r="A69" s="5" t="str">
        <f>CAPTURA!$B$3</f>
        <v>ROMMEL CACERES</v>
      </c>
      <c r="B69" s="5">
        <f>CAPTURA!A75</f>
        <v>66</v>
      </c>
      <c r="C69" s="5">
        <f>CAPTURA!G75</f>
        <v>0</v>
      </c>
      <c r="D69" s="5">
        <f>CAPTURA!H75</f>
        <v>0</v>
      </c>
    </row>
    <row r="70" spans="1:4">
      <c r="A70" s="5" t="str">
        <f>CAPTURA!$B$3</f>
        <v>ROMMEL CACERES</v>
      </c>
      <c r="B70" s="5">
        <f>CAPTURA!A76</f>
        <v>67</v>
      </c>
      <c r="C70" s="5">
        <f>CAPTURA!G76</f>
        <v>0</v>
      </c>
      <c r="D70" s="5">
        <f>CAPTURA!H76</f>
        <v>0</v>
      </c>
    </row>
    <row r="71" spans="1:4">
      <c r="A71" s="5" t="str">
        <f>CAPTURA!$B$3</f>
        <v>ROMMEL CACERES</v>
      </c>
      <c r="B71" s="5">
        <f>CAPTURA!A77</f>
        <v>68</v>
      </c>
      <c r="C71" s="5">
        <f>CAPTURA!G77</f>
        <v>0</v>
      </c>
      <c r="D71" s="5">
        <f>CAPTURA!H77</f>
        <v>0</v>
      </c>
    </row>
    <row r="72" spans="1:4">
      <c r="A72" s="5" t="str">
        <f>CAPTURA!$B$3</f>
        <v>ROMMEL CACERES</v>
      </c>
      <c r="B72" s="5">
        <f>CAPTURA!A78</f>
        <v>69</v>
      </c>
      <c r="C72" s="5">
        <f>CAPTURA!G78</f>
        <v>0</v>
      </c>
      <c r="D72" s="5">
        <f>CAPTURA!H78</f>
        <v>0</v>
      </c>
    </row>
    <row r="73" spans="1:4">
      <c r="A73" s="5" t="str">
        <f>CAPTURA!$B$3</f>
        <v>ROMMEL CACERES</v>
      </c>
      <c r="B73" s="5">
        <f>CAPTURA!A79</f>
        <v>70</v>
      </c>
      <c r="C73" s="5">
        <f>CAPTURA!G79</f>
        <v>0</v>
      </c>
      <c r="D73" s="5">
        <f>CAPTURA!H79</f>
        <v>0</v>
      </c>
    </row>
    <row r="74" spans="1:4">
      <c r="A74" s="5" t="str">
        <f>CAPTURA!$B$3</f>
        <v>ROMMEL CACERES</v>
      </c>
      <c r="B74" s="5">
        <f>CAPTURA!A80</f>
        <v>71</v>
      </c>
      <c r="C74" s="5">
        <f>CAPTURA!G80</f>
        <v>0</v>
      </c>
      <c r="D74" s="5">
        <f>CAPTURA!H80</f>
        <v>0</v>
      </c>
    </row>
    <row r="75" spans="1:4">
      <c r="A75" s="5" t="str">
        <f>CAPTURA!$B$3</f>
        <v>ROMMEL CACERES</v>
      </c>
      <c r="B75" s="5">
        <f>CAPTURA!A81</f>
        <v>72</v>
      </c>
      <c r="C75" s="5">
        <f>CAPTURA!G81</f>
        <v>0</v>
      </c>
      <c r="D75" s="5">
        <f>CAPTURA!H81</f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A22" sqref="A22"/>
    </sheetView>
  </sheetViews>
  <sheetFormatPr defaultColWidth="8.85546875" defaultRowHeight="14.45"/>
  <cols>
    <col min="1" max="1" width="90" customWidth="1"/>
  </cols>
  <sheetData>
    <row r="1" spans="1:6" ht="21">
      <c r="A1" s="11" t="s">
        <v>81</v>
      </c>
      <c r="B1" s="12"/>
      <c r="C1" s="12"/>
      <c r="D1" s="12"/>
      <c r="E1" s="12"/>
      <c r="F1" s="12"/>
    </row>
    <row r="3" spans="1:6">
      <c r="A3" s="2" t="s">
        <v>82</v>
      </c>
    </row>
    <row r="4" spans="1:6">
      <c r="A4" s="2" t="s">
        <v>83</v>
      </c>
    </row>
    <row r="5" spans="1:6">
      <c r="A5" s="2" t="s">
        <v>84</v>
      </c>
    </row>
    <row r="6" spans="1:6">
      <c r="A6" s="2" t="s">
        <v>85</v>
      </c>
    </row>
    <row r="7" spans="1:6">
      <c r="A7" s="2" t="s">
        <v>86</v>
      </c>
    </row>
    <row r="8" spans="1:6">
      <c r="A8" s="2" t="s">
        <v>87</v>
      </c>
    </row>
    <row r="9" spans="1:6">
      <c r="A9" s="2" t="s">
        <v>88</v>
      </c>
    </row>
    <row r="10" spans="1:6">
      <c r="A10" s="2" t="s">
        <v>89</v>
      </c>
    </row>
    <row r="11" spans="1:6">
      <c r="A11" s="2"/>
    </row>
    <row r="12" spans="1:6">
      <c r="A12" s="2" t="s">
        <v>90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Rommel Efrain Caceres Porras</dc:creator>
  <cp:keywords/>
  <dc:description/>
  <cp:lastModifiedBy>Oscar Eduardo Mazariegos López</cp:lastModifiedBy>
  <cp:revision/>
  <dcterms:created xsi:type="dcterms:W3CDTF">2026-05-08T15:52:27Z</dcterms:created>
  <dcterms:modified xsi:type="dcterms:W3CDTF">2026-05-11T17:58:01Z</dcterms:modified>
  <cp:category/>
  <cp:contentStatus/>
</cp:coreProperties>
</file>